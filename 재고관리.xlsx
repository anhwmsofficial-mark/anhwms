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 Choi 1\Desktop\"/>
    </mc:Choice>
  </mc:AlternateContent>
  <xr:revisionPtr revIDLastSave="0" documentId="8_{BC475836-12B2-4EEB-8B8D-02C8F968BD8A}" xr6:coauthVersionLast="47" xr6:coauthVersionMax="47" xr10:uidLastSave="{00000000-0000-0000-0000-000000000000}"/>
  <bookViews>
    <workbookView xWindow="38280" yWindow="-120" windowWidth="38640" windowHeight="21120" xr2:uid="{705563BA-F907-4823-83FF-FE67DDF46EFF}"/>
  </bookViews>
  <sheets>
    <sheet name="2026-02-09" sheetId="2" r:id="rId1"/>
  </sheets>
  <definedNames>
    <definedName name="_xlnm._FilterDatabase" localSheetId="0" hidden="1">'2026-02-09'!$A$1:$AM$1341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41" i="2" l="1"/>
  <c r="AI1341" i="2"/>
  <c r="AH1341" i="2"/>
  <c r="AG1341" i="2"/>
  <c r="AF1341" i="2"/>
  <c r="AB1341" i="2"/>
  <c r="Z1341" i="2"/>
  <c r="Y1341" i="2"/>
  <c r="W1341" i="2"/>
  <c r="V1341" i="2"/>
  <c r="U1341" i="2"/>
  <c r="T1341" i="2"/>
  <c r="S1341" i="2"/>
  <c r="R1341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L1340" i="2"/>
  <c r="AK1340" i="2"/>
  <c r="AC1340" i="2"/>
  <c r="AA1340" i="2"/>
  <c r="X1340" i="2"/>
  <c r="AC1339" i="2"/>
  <c r="AK1339" i="2" s="1"/>
  <c r="AL1339" i="2" s="1"/>
  <c r="AL1338" i="2"/>
  <c r="AK1338" i="2"/>
  <c r="AC1338" i="2"/>
  <c r="AK1337" i="2"/>
  <c r="AL1337" i="2" s="1"/>
  <c r="AK1336" i="2"/>
  <c r="AL1336" i="2" s="1"/>
  <c r="AK1335" i="2"/>
  <c r="AL1335" i="2" s="1"/>
  <c r="AK1334" i="2"/>
  <c r="AL1334" i="2" s="1"/>
  <c r="AK1333" i="2"/>
  <c r="AL1333" i="2" s="1"/>
  <c r="AL1332" i="2"/>
  <c r="AK1332" i="2"/>
  <c r="AK1331" i="2"/>
  <c r="AL1331" i="2" s="1"/>
  <c r="AK1330" i="2"/>
  <c r="AL1330" i="2" s="1"/>
  <c r="AK1329" i="2"/>
  <c r="AL1329" i="2" s="1"/>
  <c r="AK1328" i="2"/>
  <c r="AL1328" i="2" s="1"/>
  <c r="AK1327" i="2"/>
  <c r="AL1327" i="2" s="1"/>
  <c r="AK1326" i="2"/>
  <c r="AL1326" i="2" s="1"/>
  <c r="AK1325" i="2"/>
  <c r="AL1325" i="2" s="1"/>
  <c r="AK1324" i="2"/>
  <c r="AL1324" i="2" s="1"/>
  <c r="AL1323" i="2"/>
  <c r="AK1323" i="2"/>
  <c r="AL1322" i="2"/>
  <c r="AK1322" i="2"/>
  <c r="AK1321" i="2"/>
  <c r="AL1321" i="2" s="1"/>
  <c r="AK1320" i="2"/>
  <c r="AL1320" i="2" s="1"/>
  <c r="AK1319" i="2"/>
  <c r="AL1319" i="2" s="1"/>
  <c r="AK1318" i="2"/>
  <c r="AL1318" i="2" s="1"/>
  <c r="AK1317" i="2"/>
  <c r="AL1317" i="2" s="1"/>
  <c r="AK1316" i="2"/>
  <c r="AL1316" i="2" s="1"/>
  <c r="AK1315" i="2"/>
  <c r="AL1315" i="2" s="1"/>
  <c r="AK1314" i="2"/>
  <c r="AL1314" i="2" s="1"/>
  <c r="AL1313" i="2"/>
  <c r="AK1313" i="2"/>
  <c r="AL1312" i="2"/>
  <c r="AK1312" i="2"/>
  <c r="AK1311" i="2"/>
  <c r="AL1311" i="2" s="1"/>
  <c r="AK1310" i="2"/>
  <c r="AL1310" i="2" s="1"/>
  <c r="AK1309" i="2"/>
  <c r="AL1309" i="2" s="1"/>
  <c r="AK1308" i="2"/>
  <c r="AL1308" i="2" s="1"/>
  <c r="AK1307" i="2"/>
  <c r="AL1307" i="2" s="1"/>
  <c r="AK1306" i="2"/>
  <c r="AL1306" i="2" s="1"/>
  <c r="AK1305" i="2"/>
  <c r="AL1305" i="2" s="1"/>
  <c r="AK1304" i="2"/>
  <c r="AL1304" i="2" s="1"/>
  <c r="AL1303" i="2"/>
  <c r="AK1303" i="2"/>
  <c r="AK1302" i="2"/>
  <c r="AL1302" i="2" s="1"/>
  <c r="AK1301" i="2"/>
  <c r="AL1301" i="2" s="1"/>
  <c r="AK1300" i="2"/>
  <c r="AL1300" i="2" s="1"/>
  <c r="AK1299" i="2"/>
  <c r="AL1299" i="2" s="1"/>
  <c r="AK1298" i="2"/>
  <c r="AL1298" i="2" s="1"/>
  <c r="AK1297" i="2"/>
  <c r="AL1297" i="2" s="1"/>
  <c r="AK1296" i="2"/>
  <c r="AL1296" i="2" s="1"/>
  <c r="AK1295" i="2"/>
  <c r="AL1295" i="2" s="1"/>
  <c r="AK1294" i="2"/>
  <c r="AL1294" i="2" s="1"/>
  <c r="AL1293" i="2"/>
  <c r="AK1293" i="2"/>
  <c r="AL1292" i="2"/>
  <c r="AK1292" i="2"/>
  <c r="AK1291" i="2"/>
  <c r="AL1291" i="2" s="1"/>
  <c r="AK1290" i="2"/>
  <c r="AL1290" i="2" s="1"/>
  <c r="AK1289" i="2"/>
  <c r="AL1289" i="2" s="1"/>
  <c r="AK1288" i="2"/>
  <c r="AL1288" i="2" s="1"/>
  <c r="AK1287" i="2"/>
  <c r="AL1287" i="2" s="1"/>
  <c r="AK1286" i="2"/>
  <c r="AL1286" i="2" s="1"/>
  <c r="AK1285" i="2"/>
  <c r="AL1285" i="2" s="1"/>
  <c r="AK1284" i="2"/>
  <c r="AL1284" i="2" s="1"/>
  <c r="AK1283" i="2"/>
  <c r="AL1283" i="2" s="1"/>
  <c r="AK1282" i="2"/>
  <c r="AL1282" i="2" s="1"/>
  <c r="AK1281" i="2"/>
  <c r="AL1281" i="2" s="1"/>
  <c r="AK1280" i="2"/>
  <c r="AL1280" i="2" s="1"/>
  <c r="AK1279" i="2"/>
  <c r="AL1279" i="2" s="1"/>
  <c r="AK1278" i="2"/>
  <c r="AL1278" i="2" s="1"/>
  <c r="AK1277" i="2"/>
  <c r="AL1277" i="2" s="1"/>
  <c r="AK1276" i="2"/>
  <c r="AL1276" i="2" s="1"/>
  <c r="AK1275" i="2"/>
  <c r="AL1275" i="2" s="1"/>
  <c r="AK1274" i="2"/>
  <c r="AL1274" i="2" s="1"/>
  <c r="AL1273" i="2"/>
  <c r="AK1273" i="2"/>
  <c r="AL1272" i="2"/>
  <c r="AK1272" i="2"/>
  <c r="AK1271" i="2"/>
  <c r="AL1271" i="2" s="1"/>
  <c r="AK1270" i="2"/>
  <c r="AL1270" i="2" s="1"/>
  <c r="AK1269" i="2"/>
  <c r="AL1269" i="2" s="1"/>
  <c r="AK1268" i="2"/>
  <c r="AL1268" i="2" s="1"/>
  <c r="AK1267" i="2"/>
  <c r="AL1267" i="2" s="1"/>
  <c r="AK1266" i="2"/>
  <c r="AL1266" i="2" s="1"/>
  <c r="AK1265" i="2"/>
  <c r="AL1265" i="2" s="1"/>
  <c r="AK1264" i="2"/>
  <c r="AL1264" i="2" s="1"/>
  <c r="AL1263" i="2"/>
  <c r="AK1263" i="2"/>
  <c r="AK1262" i="2"/>
  <c r="AL1262" i="2" s="1"/>
  <c r="AK1261" i="2"/>
  <c r="AL1261" i="2" s="1"/>
  <c r="AK1260" i="2"/>
  <c r="AL1260" i="2" s="1"/>
  <c r="AK1259" i="2"/>
  <c r="AL1259" i="2" s="1"/>
  <c r="AK1258" i="2"/>
  <c r="AL1258" i="2" s="1"/>
  <c r="AK1257" i="2"/>
  <c r="AL1257" i="2" s="1"/>
  <c r="AK1256" i="2"/>
  <c r="AL1256" i="2" s="1"/>
  <c r="AK1255" i="2"/>
  <c r="AL1255" i="2" s="1"/>
  <c r="AK1254" i="2"/>
  <c r="AL1254" i="2" s="1"/>
  <c r="AL1253" i="2"/>
  <c r="AK1253" i="2"/>
  <c r="AK1252" i="2"/>
  <c r="AL1252" i="2" s="1"/>
  <c r="AK1251" i="2"/>
  <c r="AL1251" i="2" s="1"/>
  <c r="AK1250" i="2"/>
  <c r="AL1250" i="2" s="1"/>
  <c r="AK1249" i="2"/>
  <c r="AL1249" i="2" s="1"/>
  <c r="AK1248" i="2"/>
  <c r="AL1248" i="2" s="1"/>
  <c r="AK1247" i="2"/>
  <c r="AL1247" i="2" s="1"/>
  <c r="AK1246" i="2"/>
  <c r="AL1246" i="2" s="1"/>
  <c r="AK1245" i="2"/>
  <c r="AL1245" i="2" s="1"/>
  <c r="AK1244" i="2"/>
  <c r="AL1244" i="2" s="1"/>
  <c r="AK1243" i="2"/>
  <c r="AL1243" i="2" s="1"/>
  <c r="AL1242" i="2"/>
  <c r="AK1242" i="2"/>
  <c r="AK1241" i="2"/>
  <c r="AL1241" i="2" s="1"/>
  <c r="AK1240" i="2"/>
  <c r="AL1240" i="2" s="1"/>
  <c r="AK1239" i="2"/>
  <c r="AL1239" i="2" s="1"/>
  <c r="AK1238" i="2"/>
  <c r="AL1238" i="2" s="1"/>
  <c r="AK1237" i="2"/>
  <c r="AL1237" i="2" s="1"/>
  <c r="AK1236" i="2"/>
  <c r="AL1236" i="2" s="1"/>
  <c r="AK1235" i="2"/>
  <c r="AL1235" i="2" s="1"/>
  <c r="AK1234" i="2"/>
  <c r="AL1234" i="2" s="1"/>
  <c r="AK1233" i="2"/>
  <c r="AL1233" i="2" s="1"/>
  <c r="AL1232" i="2"/>
  <c r="AK1232" i="2"/>
  <c r="AK1231" i="2"/>
  <c r="AL1231" i="2" s="1"/>
  <c r="AK1230" i="2"/>
  <c r="AL1230" i="2" s="1"/>
  <c r="AK1229" i="2"/>
  <c r="AL1229" i="2" s="1"/>
  <c r="AK1228" i="2"/>
  <c r="AL1228" i="2" s="1"/>
  <c r="AK1227" i="2"/>
  <c r="AL1227" i="2" s="1"/>
  <c r="AK1226" i="2"/>
  <c r="AL1226" i="2" s="1"/>
  <c r="AK1225" i="2"/>
  <c r="AL1225" i="2" s="1"/>
  <c r="AK1224" i="2"/>
  <c r="AL1224" i="2" s="1"/>
  <c r="AL1223" i="2"/>
  <c r="AK1223" i="2"/>
  <c r="AL1222" i="2"/>
  <c r="AK1222" i="2"/>
  <c r="AK1221" i="2"/>
  <c r="AL1221" i="2" s="1"/>
  <c r="AK1220" i="2"/>
  <c r="AL1220" i="2" s="1"/>
  <c r="AK1219" i="2"/>
  <c r="AL1219" i="2" s="1"/>
  <c r="AK1218" i="2"/>
  <c r="AL1218" i="2" s="1"/>
  <c r="AK1217" i="2"/>
  <c r="AL1217" i="2" s="1"/>
  <c r="AK1216" i="2"/>
  <c r="AL1216" i="2" s="1"/>
  <c r="AK1215" i="2"/>
  <c r="AL1215" i="2" s="1"/>
  <c r="AK1214" i="2"/>
  <c r="AL1214" i="2" s="1"/>
  <c r="AL1213" i="2"/>
  <c r="AK1213" i="2"/>
  <c r="AK1212" i="2"/>
  <c r="AL1212" i="2" s="1"/>
  <c r="AK1211" i="2"/>
  <c r="AL1211" i="2" s="1"/>
  <c r="AK1210" i="2"/>
  <c r="AL1210" i="2" s="1"/>
  <c r="AK1209" i="2"/>
  <c r="AL1209" i="2" s="1"/>
  <c r="AA1209" i="2"/>
  <c r="AL1208" i="2"/>
  <c r="AK1208" i="2"/>
  <c r="AL1207" i="2"/>
  <c r="AK1207" i="2"/>
  <c r="AL1206" i="2"/>
  <c r="AK1206" i="2"/>
  <c r="AL1205" i="2"/>
  <c r="AK1205" i="2"/>
  <c r="AK1204" i="2"/>
  <c r="AL1204" i="2" s="1"/>
  <c r="AL1203" i="2"/>
  <c r="AK1203" i="2"/>
  <c r="AL1202" i="2"/>
  <c r="AK1202" i="2"/>
  <c r="AL1201" i="2"/>
  <c r="AK1201" i="2"/>
  <c r="AK1200" i="2"/>
  <c r="AL1200" i="2" s="1"/>
  <c r="AL1199" i="2"/>
  <c r="AK1199" i="2"/>
  <c r="AL1198" i="2"/>
  <c r="AK1198" i="2"/>
  <c r="AL1197" i="2"/>
  <c r="AK1197" i="2"/>
  <c r="AL1196" i="2"/>
  <c r="AK1196" i="2"/>
  <c r="AL1195" i="2"/>
  <c r="AK1195" i="2"/>
  <c r="AK1194" i="2"/>
  <c r="AL1194" i="2" s="1"/>
  <c r="AK1193" i="2"/>
  <c r="AL1193" i="2" s="1"/>
  <c r="AL1192" i="2"/>
  <c r="AK1192" i="2"/>
  <c r="AL1191" i="2"/>
  <c r="AK1191" i="2"/>
  <c r="AK1190" i="2"/>
  <c r="AL1190" i="2" s="1"/>
  <c r="AL1189" i="2"/>
  <c r="AK1189" i="2"/>
  <c r="AL1188" i="2"/>
  <c r="AK1188" i="2"/>
  <c r="AL1187" i="2"/>
  <c r="AK1187" i="2"/>
  <c r="AL1186" i="2"/>
  <c r="AK1186" i="2"/>
  <c r="AL1185" i="2"/>
  <c r="AK1185" i="2"/>
  <c r="AK1184" i="2"/>
  <c r="AL1184" i="2" s="1"/>
  <c r="AK1183" i="2"/>
  <c r="AL1183" i="2" s="1"/>
  <c r="AL1182" i="2"/>
  <c r="AK1182" i="2"/>
  <c r="AL1181" i="2"/>
  <c r="AK1181" i="2"/>
  <c r="AK1180" i="2"/>
  <c r="AL1180" i="2" s="1"/>
  <c r="AL1179" i="2"/>
  <c r="AK1179" i="2"/>
  <c r="AL1178" i="2"/>
  <c r="AK1178" i="2"/>
  <c r="AL1177" i="2"/>
  <c r="AK1177" i="2"/>
  <c r="AL1176" i="2"/>
  <c r="AK1176" i="2"/>
  <c r="AL1175" i="2"/>
  <c r="AK1175" i="2"/>
  <c r="AK1174" i="2"/>
  <c r="AL1174" i="2" s="1"/>
  <c r="AK1173" i="2"/>
  <c r="AL1173" i="2" s="1"/>
  <c r="AL1172" i="2"/>
  <c r="AK1172" i="2"/>
  <c r="AL1171" i="2"/>
  <c r="AK1171" i="2"/>
  <c r="AK1170" i="2"/>
  <c r="AL1170" i="2" s="1"/>
  <c r="AL1169" i="2"/>
  <c r="AK1169" i="2"/>
  <c r="AL1168" i="2"/>
  <c r="AK1168" i="2"/>
  <c r="AL1167" i="2"/>
  <c r="AK1167" i="2"/>
  <c r="AK1166" i="2"/>
  <c r="AL1166" i="2" s="1"/>
  <c r="AL1165" i="2"/>
  <c r="AK1165" i="2"/>
  <c r="AK1164" i="2"/>
  <c r="AL1164" i="2" s="1"/>
  <c r="AK1163" i="2"/>
  <c r="AL1163" i="2" s="1"/>
  <c r="AL1162" i="2"/>
  <c r="AK1162" i="2"/>
  <c r="AL1161" i="2"/>
  <c r="AK1161" i="2"/>
  <c r="AK1160" i="2"/>
  <c r="AL1160" i="2" s="1"/>
  <c r="AL1159" i="2"/>
  <c r="AK1159" i="2"/>
  <c r="AL1158" i="2"/>
  <c r="AK1158" i="2"/>
  <c r="AL1157" i="2"/>
  <c r="AK1157" i="2"/>
  <c r="AK1156" i="2"/>
  <c r="AL1156" i="2" s="1"/>
  <c r="AA1155" i="2"/>
  <c r="AK1155" i="2" s="1"/>
  <c r="AL1155" i="2" s="1"/>
  <c r="AL1154" i="2"/>
  <c r="AK1154" i="2"/>
  <c r="AL1153" i="2"/>
  <c r="AK1153" i="2"/>
  <c r="AK1152" i="2"/>
  <c r="AL1152" i="2" s="1"/>
  <c r="AA1151" i="2"/>
  <c r="AK1151" i="2" s="1"/>
  <c r="AL1151" i="2" s="1"/>
  <c r="AL1150" i="2"/>
  <c r="AK1150" i="2"/>
  <c r="AL1149" i="2"/>
  <c r="AK1149" i="2"/>
  <c r="AL1148" i="2"/>
  <c r="AK1148" i="2"/>
  <c r="AA1147" i="2"/>
  <c r="AK1147" i="2" s="1"/>
  <c r="AL1147" i="2" s="1"/>
  <c r="AK1146" i="2"/>
  <c r="AL1146" i="2" s="1"/>
  <c r="AK1145" i="2"/>
  <c r="AL1145" i="2" s="1"/>
  <c r="AK1144" i="2"/>
  <c r="AL1144" i="2" s="1"/>
  <c r="AK1143" i="2"/>
  <c r="AL1143" i="2" s="1"/>
  <c r="AK1142" i="2"/>
  <c r="AL1142" i="2" s="1"/>
  <c r="AL1141" i="2"/>
  <c r="AK1141" i="2"/>
  <c r="AA1141" i="2"/>
  <c r="AL1140" i="2"/>
  <c r="AK1140" i="2"/>
  <c r="AL1139" i="2"/>
  <c r="AK1139" i="2"/>
  <c r="AA1138" i="2"/>
  <c r="AK1138" i="2" s="1"/>
  <c r="AL1138" i="2" s="1"/>
  <c r="AK1137" i="2"/>
  <c r="AL1137" i="2" s="1"/>
  <c r="AK1136" i="2"/>
  <c r="AL1136" i="2" s="1"/>
  <c r="AK1135" i="2"/>
  <c r="AL1135" i="2" s="1"/>
  <c r="AK1134" i="2"/>
  <c r="AL1134" i="2" s="1"/>
  <c r="AA1134" i="2"/>
  <c r="AK1133" i="2"/>
  <c r="AL1133" i="2" s="1"/>
  <c r="AL1132" i="2"/>
  <c r="AK1132" i="2"/>
  <c r="AL1131" i="2"/>
  <c r="AK1131" i="2"/>
  <c r="AL1130" i="2"/>
  <c r="AK1130" i="2"/>
  <c r="AL1129" i="2"/>
  <c r="AK1129" i="2"/>
  <c r="AL1128" i="2"/>
  <c r="AK1128" i="2"/>
  <c r="AA1127" i="2"/>
  <c r="AK1127" i="2" s="1"/>
  <c r="AL1127" i="2" s="1"/>
  <c r="AL1126" i="2"/>
  <c r="AK1126" i="2"/>
  <c r="AK1125" i="2"/>
  <c r="AL1125" i="2" s="1"/>
  <c r="AK1124" i="2"/>
  <c r="AL1124" i="2" s="1"/>
  <c r="AK1123" i="2"/>
  <c r="AL1123" i="2" s="1"/>
  <c r="AA1123" i="2"/>
  <c r="AL1122" i="2"/>
  <c r="AK1122" i="2"/>
  <c r="AL1121" i="2"/>
  <c r="AK1121" i="2"/>
  <c r="AK1120" i="2"/>
  <c r="AL1120" i="2" s="1"/>
  <c r="AL1119" i="2"/>
  <c r="AK1119" i="2"/>
  <c r="AL1118" i="2"/>
  <c r="AK1118" i="2"/>
  <c r="AA1117" i="2"/>
  <c r="AK1117" i="2" s="1"/>
  <c r="AL1117" i="2" s="1"/>
  <c r="AK1116" i="2"/>
  <c r="AL1116" i="2" s="1"/>
  <c r="AK1115" i="2"/>
  <c r="AL1115" i="2" s="1"/>
  <c r="AL1114" i="2"/>
  <c r="AK1114" i="2"/>
  <c r="AK1113" i="2"/>
  <c r="AL1113" i="2" s="1"/>
  <c r="AA1113" i="2"/>
  <c r="AL1112" i="2"/>
  <c r="AK1112" i="2"/>
  <c r="AL1111" i="2"/>
  <c r="AK1111" i="2"/>
  <c r="AL1110" i="2"/>
  <c r="AK1110" i="2"/>
  <c r="AL1109" i="2"/>
  <c r="AK1109" i="2"/>
  <c r="AL1108" i="2"/>
  <c r="AK1108" i="2"/>
  <c r="AA1107" i="2"/>
  <c r="AK1107" i="2" s="1"/>
  <c r="AL1107" i="2" s="1"/>
  <c r="AK1106" i="2"/>
  <c r="AL1106" i="2" s="1"/>
  <c r="AL1105" i="2"/>
  <c r="AK1105" i="2"/>
  <c r="AK1104" i="2"/>
  <c r="AL1104" i="2" s="1"/>
  <c r="AK1103" i="2"/>
  <c r="AL1103" i="2" s="1"/>
  <c r="AA1103" i="2"/>
  <c r="AK1102" i="2"/>
  <c r="AL1102" i="2" s="1"/>
  <c r="AA1101" i="2"/>
  <c r="AK1101" i="2" s="1"/>
  <c r="AL1101" i="2" s="1"/>
  <c r="AL1100" i="2"/>
  <c r="AK1100" i="2"/>
  <c r="AL1099" i="2"/>
  <c r="AK1099" i="2"/>
  <c r="AK1098" i="2"/>
  <c r="AL1098" i="2" s="1"/>
  <c r="AK1097" i="2"/>
  <c r="AL1097" i="2" s="1"/>
  <c r="AL1096" i="2"/>
  <c r="AK1096" i="2"/>
  <c r="AD1095" i="2"/>
  <c r="AA1095" i="2"/>
  <c r="AL1094" i="2"/>
  <c r="AK1094" i="2"/>
  <c r="AL1093" i="2"/>
  <c r="AK1093" i="2"/>
  <c r="AK1092" i="2"/>
  <c r="AL1092" i="2" s="1"/>
  <c r="AA1091" i="2"/>
  <c r="AK1091" i="2" s="1"/>
  <c r="AL1091" i="2" s="1"/>
  <c r="AK1090" i="2"/>
  <c r="AL1090" i="2" s="1"/>
  <c r="AK1089" i="2"/>
  <c r="AL1089" i="2" s="1"/>
  <c r="AL1088" i="2"/>
  <c r="AK1088" i="2"/>
  <c r="AA1088" i="2"/>
  <c r="AL1087" i="2"/>
  <c r="AK1087" i="2"/>
  <c r="AL1086" i="2"/>
  <c r="AK1086" i="2"/>
  <c r="AA1085" i="2"/>
  <c r="AK1085" i="2" s="1"/>
  <c r="AL1085" i="2" s="1"/>
  <c r="AK1084" i="2"/>
  <c r="AL1084" i="2" s="1"/>
  <c r="AK1083" i="2"/>
  <c r="AL1083" i="2" s="1"/>
  <c r="AK1082" i="2"/>
  <c r="AL1082" i="2" s="1"/>
  <c r="AK1081" i="2"/>
  <c r="AL1081" i="2" s="1"/>
  <c r="AK1080" i="2"/>
  <c r="AL1080" i="2" s="1"/>
  <c r="AK1079" i="2"/>
  <c r="AL1079" i="2" s="1"/>
  <c r="AK1078" i="2"/>
  <c r="AL1078" i="2" s="1"/>
  <c r="AK1077" i="2"/>
  <c r="AL1077" i="2" s="1"/>
  <c r="AK1076" i="2"/>
  <c r="AL1076" i="2" s="1"/>
  <c r="AL1075" i="2"/>
  <c r="AK1075" i="2"/>
  <c r="AK1074" i="2"/>
  <c r="AL1074" i="2" s="1"/>
  <c r="AA1074" i="2"/>
  <c r="AK1073" i="2"/>
  <c r="AL1073" i="2" s="1"/>
  <c r="AL1072" i="2"/>
  <c r="AK1072" i="2"/>
  <c r="AL1071" i="2"/>
  <c r="AK1071" i="2"/>
  <c r="AK1070" i="2"/>
  <c r="AL1070" i="2" s="1"/>
  <c r="AL1069" i="2"/>
  <c r="AK1069" i="2"/>
  <c r="AL1068" i="2"/>
  <c r="AE1068" i="2"/>
  <c r="AA1068" i="2"/>
  <c r="AK1068" i="2" s="1"/>
  <c r="AL1067" i="2"/>
  <c r="AK1067" i="2"/>
  <c r="AL1066" i="2"/>
  <c r="AK1066" i="2"/>
  <c r="AA1065" i="2"/>
  <c r="AK1065" i="2" s="1"/>
  <c r="AL1065" i="2" s="1"/>
  <c r="AL1064" i="2"/>
  <c r="AK1064" i="2"/>
  <c r="AK1063" i="2"/>
  <c r="AL1063" i="2" s="1"/>
  <c r="AK1062" i="2"/>
  <c r="AL1062" i="2" s="1"/>
  <c r="AL1061" i="2"/>
  <c r="AK1061" i="2"/>
  <c r="AK1060" i="2"/>
  <c r="AL1060" i="2" s="1"/>
  <c r="AA1059" i="2"/>
  <c r="X1059" i="2"/>
  <c r="AK1059" i="2" s="1"/>
  <c r="AL1059" i="2" s="1"/>
  <c r="AL1058" i="2"/>
  <c r="AK1058" i="2"/>
  <c r="AK1057" i="2"/>
  <c r="AL1057" i="2" s="1"/>
  <c r="AL1056" i="2"/>
  <c r="AK1056" i="2"/>
  <c r="AL1055" i="2"/>
  <c r="AK1055" i="2"/>
  <c r="AK1054" i="2"/>
  <c r="AL1054" i="2" s="1"/>
  <c r="AK1053" i="2"/>
  <c r="AL1053" i="2" s="1"/>
  <c r="AL1052" i="2"/>
  <c r="AK1052" i="2"/>
  <c r="AK1051" i="2"/>
  <c r="AL1051" i="2" s="1"/>
  <c r="AE1050" i="2"/>
  <c r="AA1050" i="2"/>
  <c r="AK1050" i="2" s="1"/>
  <c r="AL1050" i="2" s="1"/>
  <c r="AL1049" i="2"/>
  <c r="AK1049" i="2"/>
  <c r="AK1048" i="2"/>
  <c r="AL1048" i="2" s="1"/>
  <c r="AK1047" i="2"/>
  <c r="AL1047" i="2" s="1"/>
  <c r="AL1046" i="2"/>
  <c r="AK1046" i="2"/>
  <c r="AK1045" i="2"/>
  <c r="AL1045" i="2" s="1"/>
  <c r="AE1044" i="2"/>
  <c r="AA1044" i="2"/>
  <c r="AK1043" i="2"/>
  <c r="AL1043" i="2" s="1"/>
  <c r="AK1042" i="2"/>
  <c r="AL1042" i="2" s="1"/>
  <c r="AK1041" i="2"/>
  <c r="AL1041" i="2" s="1"/>
  <c r="AK1040" i="2"/>
  <c r="AL1040" i="2" s="1"/>
  <c r="AA1040" i="2"/>
  <c r="AK1039" i="2"/>
  <c r="AL1039" i="2" s="1"/>
  <c r="AK1038" i="2"/>
  <c r="AL1038" i="2" s="1"/>
  <c r="AL1037" i="2"/>
  <c r="AA1037" i="2"/>
  <c r="AK1037" i="2" s="1"/>
  <c r="X1037" i="2"/>
  <c r="AK1036" i="2"/>
  <c r="AL1036" i="2" s="1"/>
  <c r="AL1035" i="2"/>
  <c r="AK1035" i="2"/>
  <c r="AL1034" i="2"/>
  <c r="AK1034" i="2"/>
  <c r="AL1033" i="2"/>
  <c r="AK1033" i="2"/>
  <c r="AA1032" i="2"/>
  <c r="AK1032" i="2" s="1"/>
  <c r="AL1032" i="2" s="1"/>
  <c r="AK1031" i="2"/>
  <c r="AL1031" i="2" s="1"/>
  <c r="AL1030" i="2"/>
  <c r="AK1030" i="2"/>
  <c r="AK1029" i="2"/>
  <c r="AL1029" i="2" s="1"/>
  <c r="AA1029" i="2"/>
  <c r="AL1028" i="2"/>
  <c r="AK1028" i="2"/>
  <c r="AK1027" i="2"/>
  <c r="AL1027" i="2" s="1"/>
  <c r="AL1026" i="2"/>
  <c r="AK1026" i="2"/>
  <c r="AL1025" i="2"/>
  <c r="AK1025" i="2"/>
  <c r="AL1024" i="2"/>
  <c r="AK1024" i="2"/>
  <c r="AL1023" i="2"/>
  <c r="AK1023" i="2"/>
  <c r="AL1022" i="2"/>
  <c r="AA1022" i="2"/>
  <c r="AK1022" i="2" s="1"/>
  <c r="AL1021" i="2"/>
  <c r="AK1021" i="2"/>
  <c r="AL1020" i="2"/>
  <c r="AK1020" i="2"/>
  <c r="AK1019" i="2"/>
  <c r="AL1019" i="2" s="1"/>
  <c r="AA1018" i="2"/>
  <c r="X1018" i="2"/>
  <c r="AK1017" i="2"/>
  <c r="AL1017" i="2" s="1"/>
  <c r="AK1016" i="2"/>
  <c r="AL1016" i="2" s="1"/>
  <c r="AK1015" i="2"/>
  <c r="AL1015" i="2" s="1"/>
  <c r="AL1014" i="2"/>
  <c r="AK1014" i="2"/>
  <c r="AK1013" i="2"/>
  <c r="AL1013" i="2" s="1"/>
  <c r="AA1012" i="2"/>
  <c r="AK1012" i="2" s="1"/>
  <c r="AL1012" i="2" s="1"/>
  <c r="AL1011" i="2"/>
  <c r="AK1011" i="2"/>
  <c r="AL1010" i="2"/>
  <c r="AK1010" i="2"/>
  <c r="AK1009" i="2"/>
  <c r="AL1009" i="2" s="1"/>
  <c r="AA1009" i="2"/>
  <c r="AK1008" i="2"/>
  <c r="AL1008" i="2" s="1"/>
  <c r="AK1007" i="2"/>
  <c r="AL1007" i="2" s="1"/>
  <c r="AA1006" i="2"/>
  <c r="AK1006" i="2" s="1"/>
  <c r="AL1006" i="2" s="1"/>
  <c r="AL1005" i="2"/>
  <c r="AK1005" i="2"/>
  <c r="AL1004" i="2"/>
  <c r="AK1004" i="2"/>
  <c r="AA1003" i="2"/>
  <c r="AK1003" i="2" s="1"/>
  <c r="AL1003" i="2" s="1"/>
  <c r="AK1002" i="2"/>
  <c r="AL1002" i="2" s="1"/>
  <c r="AK1001" i="2"/>
  <c r="AL1001" i="2" s="1"/>
  <c r="AK1000" i="2"/>
  <c r="AL1000" i="2" s="1"/>
  <c r="AA1000" i="2"/>
  <c r="AL999" i="2"/>
  <c r="AK999" i="2"/>
  <c r="AL998" i="2"/>
  <c r="AK998" i="2"/>
  <c r="AL997" i="2"/>
  <c r="AK997" i="2"/>
  <c r="AA996" i="2"/>
  <c r="X996" i="2"/>
  <c r="AL995" i="2"/>
  <c r="AK995" i="2"/>
  <c r="AL994" i="2"/>
  <c r="AK994" i="2"/>
  <c r="AA993" i="2"/>
  <c r="AK993" i="2" s="1"/>
  <c r="AL993" i="2" s="1"/>
  <c r="AL992" i="2"/>
  <c r="AK992" i="2"/>
  <c r="AK991" i="2"/>
  <c r="AL991" i="2" s="1"/>
  <c r="AK990" i="2"/>
  <c r="AL990" i="2" s="1"/>
  <c r="AA990" i="2"/>
  <c r="AL989" i="2"/>
  <c r="AK989" i="2"/>
  <c r="AL988" i="2"/>
  <c r="AK988" i="2"/>
  <c r="AL987" i="2"/>
  <c r="AK987" i="2"/>
  <c r="AK986" i="2"/>
  <c r="AL986" i="2" s="1"/>
  <c r="AL985" i="2"/>
  <c r="AK985" i="2"/>
  <c r="AL984" i="2"/>
  <c r="AK984" i="2"/>
  <c r="AK983" i="2"/>
  <c r="AL983" i="2" s="1"/>
  <c r="AA983" i="2"/>
  <c r="AK982" i="2"/>
  <c r="AL982" i="2" s="1"/>
  <c r="AK981" i="2"/>
  <c r="AL981" i="2" s="1"/>
  <c r="AA980" i="2"/>
  <c r="AK980" i="2" s="1"/>
  <c r="AL980" i="2" s="1"/>
  <c r="AL979" i="2"/>
  <c r="AK979" i="2"/>
  <c r="AL978" i="2"/>
  <c r="AK978" i="2"/>
  <c r="AL977" i="2"/>
  <c r="AK977" i="2"/>
  <c r="AL976" i="2"/>
  <c r="AK976" i="2"/>
  <c r="AA975" i="2"/>
  <c r="AK975" i="2" s="1"/>
  <c r="AL975" i="2" s="1"/>
  <c r="AK974" i="2"/>
  <c r="AL974" i="2" s="1"/>
  <c r="AK973" i="2"/>
  <c r="AL973" i="2" s="1"/>
  <c r="AK972" i="2"/>
  <c r="AL972" i="2" s="1"/>
  <c r="AK971" i="2"/>
  <c r="AL971" i="2" s="1"/>
  <c r="AK970" i="2"/>
  <c r="AL970" i="2" s="1"/>
  <c r="AA970" i="2"/>
  <c r="AK969" i="2"/>
  <c r="AL969" i="2" s="1"/>
  <c r="AL968" i="2"/>
  <c r="AK968" i="2"/>
  <c r="AL967" i="2"/>
  <c r="AK967" i="2"/>
  <c r="AL966" i="2"/>
  <c r="AA966" i="2"/>
  <c r="AK966" i="2" s="1"/>
  <c r="AL965" i="2"/>
  <c r="AK965" i="2"/>
  <c r="AK964" i="2"/>
  <c r="AL964" i="2" s="1"/>
  <c r="AK963" i="2"/>
  <c r="AL963" i="2" s="1"/>
  <c r="AK962" i="2"/>
  <c r="AL962" i="2" s="1"/>
  <c r="AL961" i="2"/>
  <c r="AK961" i="2"/>
  <c r="AA961" i="2"/>
  <c r="AL960" i="2"/>
  <c r="AK960" i="2"/>
  <c r="AL959" i="2"/>
  <c r="AK959" i="2"/>
  <c r="AA959" i="2"/>
  <c r="AK958" i="2"/>
  <c r="AL958" i="2" s="1"/>
  <c r="AA957" i="2"/>
  <c r="AK957" i="2" s="1"/>
  <c r="AL957" i="2" s="1"/>
  <c r="AL956" i="2"/>
  <c r="AK956" i="2"/>
  <c r="AA955" i="2"/>
  <c r="AK955" i="2" s="1"/>
  <c r="AL955" i="2" s="1"/>
  <c r="AK954" i="2"/>
  <c r="AL954" i="2" s="1"/>
  <c r="AL953" i="2"/>
  <c r="AK953" i="2"/>
  <c r="AK952" i="2"/>
  <c r="AL952" i="2" s="1"/>
  <c r="AL951" i="2"/>
  <c r="AK951" i="2"/>
  <c r="AL950" i="2"/>
  <c r="AK950" i="2"/>
  <c r="AK949" i="2"/>
  <c r="AL949" i="2" s="1"/>
  <c r="AK948" i="2"/>
  <c r="AL948" i="2" s="1"/>
  <c r="AK947" i="2"/>
  <c r="AL947" i="2" s="1"/>
  <c r="AL946" i="2"/>
  <c r="AK946" i="2"/>
  <c r="AK945" i="2"/>
  <c r="AL945" i="2" s="1"/>
  <c r="AA945" i="2"/>
  <c r="AL944" i="2"/>
  <c r="AK944" i="2"/>
  <c r="AL943" i="2"/>
  <c r="AK943" i="2"/>
  <c r="AL942" i="2"/>
  <c r="AK942" i="2"/>
  <c r="AK941" i="2"/>
  <c r="AL941" i="2" s="1"/>
  <c r="AA941" i="2"/>
  <c r="X941" i="2"/>
  <c r="AL940" i="2"/>
  <c r="AK940" i="2"/>
  <c r="AK939" i="2"/>
  <c r="AL939" i="2" s="1"/>
  <c r="X939" i="2"/>
  <c r="AK938" i="2"/>
  <c r="AL938" i="2" s="1"/>
  <c r="AK937" i="2"/>
  <c r="AL937" i="2" s="1"/>
  <c r="AK936" i="2"/>
  <c r="AL936" i="2" s="1"/>
  <c r="AK935" i="2"/>
  <c r="AL935" i="2" s="1"/>
  <c r="AA935" i="2"/>
  <c r="AL934" i="2"/>
  <c r="AK934" i="2"/>
  <c r="AL933" i="2"/>
  <c r="AK933" i="2"/>
  <c r="AK932" i="2"/>
  <c r="AL932" i="2" s="1"/>
  <c r="AL931" i="2"/>
  <c r="AK931" i="2"/>
  <c r="AK930" i="2"/>
  <c r="AL930" i="2" s="1"/>
  <c r="AA930" i="2"/>
  <c r="AL929" i="2"/>
  <c r="AK929" i="2"/>
  <c r="AK928" i="2"/>
  <c r="AL928" i="2" s="1"/>
  <c r="AA928" i="2"/>
  <c r="AK927" i="2"/>
  <c r="AL927" i="2" s="1"/>
  <c r="AK926" i="2"/>
  <c r="AL926" i="2" s="1"/>
  <c r="AK925" i="2"/>
  <c r="AL925" i="2" s="1"/>
  <c r="AA925" i="2"/>
  <c r="AL924" i="2"/>
  <c r="AK924" i="2"/>
  <c r="AK923" i="2"/>
  <c r="AL923" i="2" s="1"/>
  <c r="AA923" i="2"/>
  <c r="AK922" i="2"/>
  <c r="AL922" i="2" s="1"/>
  <c r="AL921" i="2"/>
  <c r="AK921" i="2"/>
  <c r="AA920" i="2"/>
  <c r="AK920" i="2" s="1"/>
  <c r="AL920" i="2" s="1"/>
  <c r="AK919" i="2"/>
  <c r="AL919" i="2" s="1"/>
  <c r="AK918" i="2"/>
  <c r="AL918" i="2" s="1"/>
  <c r="AL917" i="2"/>
  <c r="AA917" i="2"/>
  <c r="X917" i="2"/>
  <c r="AK917" i="2" s="1"/>
  <c r="AL916" i="2"/>
  <c r="AK916" i="2"/>
  <c r="AK915" i="2"/>
  <c r="AL915" i="2" s="1"/>
  <c r="AA915" i="2"/>
  <c r="AK914" i="2"/>
  <c r="AL914" i="2" s="1"/>
  <c r="AK913" i="2"/>
  <c r="AL913" i="2" s="1"/>
  <c r="AL912" i="2"/>
  <c r="AK912" i="2"/>
  <c r="AL911" i="2"/>
  <c r="AA911" i="2"/>
  <c r="AK911" i="2" s="1"/>
  <c r="AK910" i="2"/>
  <c r="AL910" i="2" s="1"/>
  <c r="AA909" i="2"/>
  <c r="AK909" i="2" s="1"/>
  <c r="AL909" i="2" s="1"/>
  <c r="AK908" i="2"/>
  <c r="AL908" i="2" s="1"/>
  <c r="AK907" i="2"/>
  <c r="AL907" i="2" s="1"/>
  <c r="AA907" i="2"/>
  <c r="AK906" i="2"/>
  <c r="AL906" i="2" s="1"/>
  <c r="AA905" i="2"/>
  <c r="X905" i="2"/>
  <c r="AL904" i="2"/>
  <c r="AK904" i="2"/>
  <c r="AK903" i="2"/>
  <c r="AL903" i="2" s="1"/>
  <c r="AL902" i="2"/>
  <c r="AK902" i="2"/>
  <c r="AK901" i="2"/>
  <c r="AL901" i="2" s="1"/>
  <c r="AA901" i="2"/>
  <c r="AK900" i="2"/>
  <c r="AL900" i="2" s="1"/>
  <c r="AK899" i="2"/>
  <c r="AL899" i="2" s="1"/>
  <c r="AA898" i="2"/>
  <c r="AK898" i="2" s="1"/>
  <c r="AL898" i="2" s="1"/>
  <c r="AK897" i="2"/>
  <c r="AL897" i="2" s="1"/>
  <c r="AL896" i="2"/>
  <c r="AK896" i="2"/>
  <c r="AL895" i="2"/>
  <c r="AK895" i="2"/>
  <c r="AA895" i="2"/>
  <c r="AL894" i="2"/>
  <c r="AK894" i="2"/>
  <c r="AL893" i="2"/>
  <c r="AK893" i="2"/>
  <c r="AK892" i="2"/>
  <c r="AL892" i="2" s="1"/>
  <c r="AK891" i="2"/>
  <c r="AL891" i="2" s="1"/>
  <c r="AA890" i="2"/>
  <c r="AK890" i="2" s="1"/>
  <c r="AL890" i="2" s="1"/>
  <c r="AK889" i="2"/>
  <c r="AL889" i="2" s="1"/>
  <c r="AA888" i="2"/>
  <c r="X888" i="2"/>
  <c r="AK887" i="2"/>
  <c r="AL887" i="2" s="1"/>
  <c r="AA886" i="2"/>
  <c r="AK886" i="2" s="1"/>
  <c r="AL886" i="2" s="1"/>
  <c r="AL885" i="2"/>
  <c r="AK885" i="2"/>
  <c r="AL884" i="2"/>
  <c r="AK884" i="2"/>
  <c r="AK883" i="2"/>
  <c r="AL883" i="2" s="1"/>
  <c r="AA882" i="2"/>
  <c r="AK882" i="2" s="1"/>
  <c r="AL882" i="2" s="1"/>
  <c r="X882" i="2"/>
  <c r="AK881" i="2"/>
  <c r="AL881" i="2" s="1"/>
  <c r="AK880" i="2"/>
  <c r="AL880" i="2" s="1"/>
  <c r="AA880" i="2"/>
  <c r="AL879" i="2"/>
  <c r="AK879" i="2"/>
  <c r="AK878" i="2"/>
  <c r="AL878" i="2" s="1"/>
  <c r="AK877" i="2"/>
  <c r="AL877" i="2" s="1"/>
  <c r="AA877" i="2"/>
  <c r="X877" i="2"/>
  <c r="AL876" i="2"/>
  <c r="AK876" i="2"/>
  <c r="AL875" i="2"/>
  <c r="AK875" i="2"/>
  <c r="AK874" i="2"/>
  <c r="AL874" i="2" s="1"/>
  <c r="AA873" i="2"/>
  <c r="AK873" i="2" s="1"/>
  <c r="AL873" i="2" s="1"/>
  <c r="AK872" i="2"/>
  <c r="AL872" i="2" s="1"/>
  <c r="AK871" i="2"/>
  <c r="AL871" i="2" s="1"/>
  <c r="AK870" i="2"/>
  <c r="AL870" i="2" s="1"/>
  <c r="AL869" i="2"/>
  <c r="AK869" i="2"/>
  <c r="AL868" i="2"/>
  <c r="AA868" i="2"/>
  <c r="AK868" i="2" s="1"/>
  <c r="AL867" i="2"/>
  <c r="AK867" i="2"/>
  <c r="AL866" i="2"/>
  <c r="AK866" i="2"/>
  <c r="AL865" i="2"/>
  <c r="AK865" i="2"/>
  <c r="AA865" i="2"/>
  <c r="AK864" i="2"/>
  <c r="AL864" i="2" s="1"/>
  <c r="AA863" i="2"/>
  <c r="AK863" i="2" s="1"/>
  <c r="AL863" i="2" s="1"/>
  <c r="AK862" i="2"/>
  <c r="AL862" i="2" s="1"/>
  <c r="AK861" i="2"/>
  <c r="AL861" i="2" s="1"/>
  <c r="AL860" i="2"/>
  <c r="AA860" i="2"/>
  <c r="AK860" i="2" s="1"/>
  <c r="AK859" i="2"/>
  <c r="AL859" i="2" s="1"/>
  <c r="AL858" i="2"/>
  <c r="AK858" i="2"/>
  <c r="AE857" i="2"/>
  <c r="AK857" i="2" s="1"/>
  <c r="AL857" i="2" s="1"/>
  <c r="AA857" i="2"/>
  <c r="X857" i="2"/>
  <c r="AK856" i="2"/>
  <c r="AL856" i="2" s="1"/>
  <c r="AK855" i="2"/>
  <c r="AL855" i="2" s="1"/>
  <c r="AK854" i="2"/>
  <c r="AL854" i="2" s="1"/>
  <c r="AK853" i="2"/>
  <c r="AL853" i="2" s="1"/>
  <c r="AA852" i="2"/>
  <c r="AK852" i="2" s="1"/>
  <c r="AL852" i="2" s="1"/>
  <c r="AK851" i="2"/>
  <c r="AL851" i="2" s="1"/>
  <c r="AL850" i="2"/>
  <c r="AK850" i="2"/>
  <c r="AA849" i="2"/>
  <c r="AK849" i="2" s="1"/>
  <c r="AL849" i="2" s="1"/>
  <c r="AK848" i="2"/>
  <c r="AL848" i="2" s="1"/>
  <c r="AK847" i="2"/>
  <c r="AL847" i="2" s="1"/>
  <c r="AL846" i="2"/>
  <c r="AK846" i="2"/>
  <c r="AL845" i="2"/>
  <c r="AA845" i="2"/>
  <c r="AK845" i="2" s="1"/>
  <c r="AK844" i="2"/>
  <c r="AL844" i="2" s="1"/>
  <c r="AL843" i="2"/>
  <c r="AK843" i="2"/>
  <c r="AL842" i="2"/>
  <c r="AK842" i="2"/>
  <c r="AL841" i="2"/>
  <c r="AK841" i="2"/>
  <c r="AA841" i="2"/>
  <c r="AL840" i="2"/>
  <c r="AK840" i="2"/>
  <c r="AA839" i="2"/>
  <c r="AK839" i="2" s="1"/>
  <c r="AL839" i="2" s="1"/>
  <c r="AK838" i="2"/>
  <c r="AL838" i="2" s="1"/>
  <c r="AA837" i="2"/>
  <c r="AK837" i="2" s="1"/>
  <c r="AL837" i="2" s="1"/>
  <c r="AK836" i="2"/>
  <c r="AL836" i="2" s="1"/>
  <c r="AK835" i="2"/>
  <c r="AL835" i="2" s="1"/>
  <c r="AL834" i="2"/>
  <c r="AK834" i="2"/>
  <c r="AL833" i="2"/>
  <c r="AK833" i="2"/>
  <c r="AL832" i="2"/>
  <c r="AK832" i="2"/>
  <c r="AA832" i="2"/>
  <c r="AL831" i="2"/>
  <c r="AK831" i="2"/>
  <c r="AK830" i="2"/>
  <c r="AL830" i="2" s="1"/>
  <c r="AA830" i="2"/>
  <c r="AL829" i="2"/>
  <c r="AK829" i="2"/>
  <c r="AK828" i="2"/>
  <c r="AL828" i="2" s="1"/>
  <c r="AK827" i="2"/>
  <c r="AL827" i="2" s="1"/>
  <c r="AA827" i="2"/>
  <c r="AL826" i="2"/>
  <c r="AK826" i="2"/>
  <c r="AK825" i="2"/>
  <c r="AL825" i="2" s="1"/>
  <c r="AA825" i="2"/>
  <c r="AL824" i="2"/>
  <c r="AK824" i="2"/>
  <c r="AK823" i="2"/>
  <c r="AL823" i="2" s="1"/>
  <c r="AA822" i="2"/>
  <c r="AK822" i="2" s="1"/>
  <c r="AL822" i="2" s="1"/>
  <c r="AL821" i="2"/>
  <c r="AK821" i="2"/>
  <c r="AL820" i="2"/>
  <c r="AK820" i="2"/>
  <c r="AK819" i="2"/>
  <c r="AL819" i="2" s="1"/>
  <c r="AA819" i="2"/>
  <c r="AL818" i="2"/>
  <c r="AK818" i="2"/>
  <c r="AK817" i="2"/>
  <c r="AL817" i="2" s="1"/>
  <c r="AK816" i="2"/>
  <c r="AL816" i="2" s="1"/>
  <c r="AK815" i="2"/>
  <c r="AL815" i="2" s="1"/>
  <c r="AA815" i="2"/>
  <c r="AL814" i="2"/>
  <c r="AK814" i="2"/>
  <c r="AK813" i="2"/>
  <c r="AL813" i="2" s="1"/>
  <c r="AA813" i="2"/>
  <c r="X813" i="2"/>
  <c r="AK812" i="2"/>
  <c r="AL812" i="2" s="1"/>
  <c r="AK811" i="2"/>
  <c r="AL811" i="2" s="1"/>
  <c r="AK810" i="2"/>
  <c r="AL810" i="2" s="1"/>
  <c r="AA810" i="2"/>
  <c r="AK809" i="2"/>
  <c r="AL809" i="2" s="1"/>
  <c r="AK808" i="2"/>
  <c r="AL808" i="2" s="1"/>
  <c r="AA808" i="2"/>
  <c r="AL807" i="2"/>
  <c r="AK807" i="2"/>
  <c r="AA806" i="2"/>
  <c r="AK806" i="2" s="1"/>
  <c r="AL806" i="2" s="1"/>
  <c r="AK805" i="2"/>
  <c r="AL805" i="2" s="1"/>
  <c r="AL804" i="2"/>
  <c r="AK804" i="2"/>
  <c r="AL803" i="2"/>
  <c r="AK803" i="2"/>
  <c r="AA803" i="2"/>
  <c r="AL802" i="2"/>
  <c r="AK802" i="2"/>
  <c r="AL801" i="2"/>
  <c r="AK801" i="2"/>
  <c r="AK800" i="2"/>
  <c r="AL800" i="2" s="1"/>
  <c r="AK799" i="2"/>
  <c r="AL799" i="2" s="1"/>
  <c r="AA799" i="2"/>
  <c r="AL798" i="2"/>
  <c r="AK798" i="2"/>
  <c r="AA797" i="2"/>
  <c r="AK797" i="2" s="1"/>
  <c r="AL797" i="2" s="1"/>
  <c r="AK796" i="2"/>
  <c r="AL796" i="2" s="1"/>
  <c r="AL795" i="2"/>
  <c r="AK795" i="2"/>
  <c r="AL794" i="2"/>
  <c r="AK794" i="2"/>
  <c r="AK793" i="2"/>
  <c r="AL793" i="2" s="1"/>
  <c r="AK792" i="2"/>
  <c r="AL792" i="2" s="1"/>
  <c r="AA792" i="2"/>
  <c r="AL791" i="2"/>
  <c r="AK791" i="2"/>
  <c r="AA790" i="2"/>
  <c r="X790" i="2"/>
  <c r="AK790" i="2" s="1"/>
  <c r="AL790" i="2" s="1"/>
  <c r="AK789" i="2"/>
  <c r="AL789" i="2" s="1"/>
  <c r="AK788" i="2"/>
  <c r="AL788" i="2" s="1"/>
  <c r="AA788" i="2"/>
  <c r="X788" i="2"/>
  <c r="AL787" i="2"/>
  <c r="AK787" i="2"/>
  <c r="AK786" i="2"/>
  <c r="AL786" i="2" s="1"/>
  <c r="AK785" i="2"/>
  <c r="AL785" i="2" s="1"/>
  <c r="AA785" i="2"/>
  <c r="AL784" i="2"/>
  <c r="AK784" i="2"/>
  <c r="AK783" i="2"/>
  <c r="AL783" i="2" s="1"/>
  <c r="AA783" i="2"/>
  <c r="AL782" i="2"/>
  <c r="AK782" i="2"/>
  <c r="AK781" i="2"/>
  <c r="AL781" i="2" s="1"/>
  <c r="AA780" i="2"/>
  <c r="X780" i="2"/>
  <c r="AK780" i="2" s="1"/>
  <c r="AL780" i="2" s="1"/>
  <c r="AK779" i="2"/>
  <c r="AL779" i="2" s="1"/>
  <c r="AK778" i="2"/>
  <c r="AL778" i="2" s="1"/>
  <c r="AA778" i="2"/>
  <c r="AK777" i="2"/>
  <c r="AL777" i="2" s="1"/>
  <c r="AA776" i="2"/>
  <c r="X776" i="2"/>
  <c r="AK776" i="2" s="1"/>
  <c r="AL776" i="2" s="1"/>
  <c r="AL775" i="2"/>
  <c r="AK775" i="2"/>
  <c r="AA774" i="2"/>
  <c r="X774" i="2"/>
  <c r="AK774" i="2" s="1"/>
  <c r="AL774" i="2" s="1"/>
  <c r="AL773" i="2"/>
  <c r="AK773" i="2"/>
  <c r="AA772" i="2"/>
  <c r="AK772" i="2" s="1"/>
  <c r="AL772" i="2" s="1"/>
  <c r="AL771" i="2"/>
  <c r="AK771" i="2"/>
  <c r="AL770" i="2"/>
  <c r="AK770" i="2"/>
  <c r="AK769" i="2"/>
  <c r="AL769" i="2" s="1"/>
  <c r="AK768" i="2"/>
  <c r="AL768" i="2" s="1"/>
  <c r="AA767" i="2"/>
  <c r="AK767" i="2" s="1"/>
  <c r="AL767" i="2" s="1"/>
  <c r="AL766" i="2"/>
  <c r="AK766" i="2"/>
  <c r="AK765" i="2"/>
  <c r="AL765" i="2" s="1"/>
  <c r="AL764" i="2"/>
  <c r="AK764" i="2"/>
  <c r="AL763" i="2"/>
  <c r="AK763" i="2"/>
  <c r="AL762" i="2"/>
  <c r="AK762" i="2"/>
  <c r="AA762" i="2"/>
  <c r="AK761" i="2"/>
  <c r="AL761" i="2" s="1"/>
  <c r="AK760" i="2"/>
  <c r="AL760" i="2" s="1"/>
  <c r="AK759" i="2"/>
  <c r="AL759" i="2" s="1"/>
  <c r="AA759" i="2"/>
  <c r="AK758" i="2"/>
  <c r="AL758" i="2" s="1"/>
  <c r="AL757" i="2"/>
  <c r="AK757" i="2"/>
  <c r="AK756" i="2"/>
  <c r="AL756" i="2" s="1"/>
  <c r="AA755" i="2"/>
  <c r="AK755" i="2" s="1"/>
  <c r="AL755" i="2" s="1"/>
  <c r="AK754" i="2"/>
  <c r="AL754" i="2" s="1"/>
  <c r="AL753" i="2"/>
  <c r="AK753" i="2"/>
  <c r="AK752" i="2"/>
  <c r="AL752" i="2" s="1"/>
  <c r="AA752" i="2"/>
  <c r="AL751" i="2"/>
  <c r="AK751" i="2"/>
  <c r="AL750" i="2"/>
  <c r="AK750" i="2"/>
  <c r="AL749" i="2"/>
  <c r="AK749" i="2"/>
  <c r="AC749" i="2"/>
  <c r="AA749" i="2"/>
  <c r="AK748" i="2"/>
  <c r="AL748" i="2" s="1"/>
  <c r="AL747" i="2"/>
  <c r="AK747" i="2"/>
  <c r="AC746" i="2"/>
  <c r="AA746" i="2"/>
  <c r="AK746" i="2" s="1"/>
  <c r="AL746" i="2" s="1"/>
  <c r="X746" i="2"/>
  <c r="AL745" i="2"/>
  <c r="AK745" i="2"/>
  <c r="AK744" i="2"/>
  <c r="AL744" i="2" s="1"/>
  <c r="AC743" i="2"/>
  <c r="AA743" i="2"/>
  <c r="AK743" i="2" s="1"/>
  <c r="AL743" i="2" s="1"/>
  <c r="AL742" i="2"/>
  <c r="AK742" i="2"/>
  <c r="AC742" i="2"/>
  <c r="AK741" i="2"/>
  <c r="AL741" i="2" s="1"/>
  <c r="AC741" i="2"/>
  <c r="AK740" i="2"/>
  <c r="AL740" i="2" s="1"/>
  <c r="AC740" i="2"/>
  <c r="AK739" i="2"/>
  <c r="AL739" i="2" s="1"/>
  <c r="AC739" i="2"/>
  <c r="AK738" i="2"/>
  <c r="AL738" i="2" s="1"/>
  <c r="AC738" i="2"/>
  <c r="AC737" i="2"/>
  <c r="AK737" i="2" s="1"/>
  <c r="AL737" i="2" s="1"/>
  <c r="AC736" i="2"/>
  <c r="AK736" i="2" s="1"/>
  <c r="AL736" i="2" s="1"/>
  <c r="AC735" i="2"/>
  <c r="AK735" i="2" s="1"/>
  <c r="AL735" i="2" s="1"/>
  <c r="AK734" i="2"/>
  <c r="AL734" i="2" s="1"/>
  <c r="AC734" i="2"/>
  <c r="AK733" i="2"/>
  <c r="AL733" i="2" s="1"/>
  <c r="AC733" i="2"/>
  <c r="AK732" i="2"/>
  <c r="AL732" i="2" s="1"/>
  <c r="AC732" i="2"/>
  <c r="AK731" i="2"/>
  <c r="AL731" i="2" s="1"/>
  <c r="AC731" i="2"/>
  <c r="AC730" i="2"/>
  <c r="AK730" i="2" s="1"/>
  <c r="AL730" i="2" s="1"/>
  <c r="AC729" i="2"/>
  <c r="AK729" i="2" s="1"/>
  <c r="AL729" i="2" s="1"/>
  <c r="AC728" i="2"/>
  <c r="AK728" i="2" s="1"/>
  <c r="AL728" i="2" s="1"/>
  <c r="AK727" i="2"/>
  <c r="AL727" i="2" s="1"/>
  <c r="AA727" i="2"/>
  <c r="AK726" i="2"/>
  <c r="AL726" i="2" s="1"/>
  <c r="AC725" i="2"/>
  <c r="AK725" i="2" s="1"/>
  <c r="AL725" i="2" s="1"/>
  <c r="AC724" i="2"/>
  <c r="AK724" i="2" s="1"/>
  <c r="AL724" i="2" s="1"/>
  <c r="AK723" i="2"/>
  <c r="AL723" i="2" s="1"/>
  <c r="AC723" i="2"/>
  <c r="AC722" i="2"/>
  <c r="AK722" i="2" s="1"/>
  <c r="AL722" i="2" s="1"/>
  <c r="AK721" i="2"/>
  <c r="AL721" i="2" s="1"/>
  <c r="AC721" i="2"/>
  <c r="AL720" i="2"/>
  <c r="AC720" i="2"/>
  <c r="AK720" i="2" s="1"/>
  <c r="AC719" i="2"/>
  <c r="AK719" i="2" s="1"/>
  <c r="AL719" i="2" s="1"/>
  <c r="AK718" i="2"/>
  <c r="AL718" i="2" s="1"/>
  <c r="AC718" i="2"/>
  <c r="AC717" i="2"/>
  <c r="AK717" i="2" s="1"/>
  <c r="AL717" i="2" s="1"/>
  <c r="AK716" i="2"/>
  <c r="AL716" i="2" s="1"/>
  <c r="AC716" i="2"/>
  <c r="AL715" i="2"/>
  <c r="AK715" i="2"/>
  <c r="AC715" i="2"/>
  <c r="AC714" i="2"/>
  <c r="AK714" i="2" s="1"/>
  <c r="AL714" i="2" s="1"/>
  <c r="AK713" i="2"/>
  <c r="AL713" i="2" s="1"/>
  <c r="AC713" i="2"/>
  <c r="AK712" i="2"/>
  <c r="AL712" i="2" s="1"/>
  <c r="AC712" i="2"/>
  <c r="AL711" i="2"/>
  <c r="AK711" i="2"/>
  <c r="AC711" i="2"/>
  <c r="AK710" i="2"/>
  <c r="AL710" i="2" s="1"/>
  <c r="AC710" i="2"/>
  <c r="AC709" i="2"/>
  <c r="AK709" i="2" s="1"/>
  <c r="AL709" i="2" s="1"/>
  <c r="AC708" i="2"/>
  <c r="AK708" i="2" s="1"/>
  <c r="AL708" i="2" s="1"/>
  <c r="AC707" i="2"/>
  <c r="AK707" i="2" s="1"/>
  <c r="AL707" i="2" s="1"/>
  <c r="AK706" i="2"/>
  <c r="AL706" i="2" s="1"/>
  <c r="AC706" i="2"/>
  <c r="AK705" i="2"/>
  <c r="AL705" i="2" s="1"/>
  <c r="AC705" i="2"/>
  <c r="AK704" i="2"/>
  <c r="AL704" i="2" s="1"/>
  <c r="AC704" i="2"/>
  <c r="AK703" i="2"/>
  <c r="AL703" i="2" s="1"/>
  <c r="AK702" i="2"/>
  <c r="AL702" i="2" s="1"/>
  <c r="AK701" i="2"/>
  <c r="AL701" i="2" s="1"/>
  <c r="AA700" i="2"/>
  <c r="AK700" i="2" s="1"/>
  <c r="AL700" i="2" s="1"/>
  <c r="AC699" i="2"/>
  <c r="AK699" i="2" s="1"/>
  <c r="AL699" i="2" s="1"/>
  <c r="AL698" i="2"/>
  <c r="AK698" i="2"/>
  <c r="AC698" i="2"/>
  <c r="AK697" i="2"/>
  <c r="AL697" i="2" s="1"/>
  <c r="AC697" i="2"/>
  <c r="AL696" i="2"/>
  <c r="AK696" i="2"/>
  <c r="AC696" i="2"/>
  <c r="AL695" i="2"/>
  <c r="AK695" i="2"/>
  <c r="AC695" i="2"/>
  <c r="AL694" i="2"/>
  <c r="AK694" i="2"/>
  <c r="AC694" i="2"/>
  <c r="AK693" i="2"/>
  <c r="AL693" i="2" s="1"/>
  <c r="AC693" i="2"/>
  <c r="AC692" i="2"/>
  <c r="AK692" i="2" s="1"/>
  <c r="AL692" i="2" s="1"/>
  <c r="AL691" i="2"/>
  <c r="AK691" i="2"/>
  <c r="AC691" i="2"/>
  <c r="AC690" i="2"/>
  <c r="AK690" i="2" s="1"/>
  <c r="AL690" i="2" s="1"/>
  <c r="AL689" i="2"/>
  <c r="AC689" i="2"/>
  <c r="AK689" i="2" s="1"/>
  <c r="AL688" i="2"/>
  <c r="AC688" i="2"/>
  <c r="AK688" i="2" s="1"/>
  <c r="AC687" i="2"/>
  <c r="AK687" i="2" s="1"/>
  <c r="AL687" i="2" s="1"/>
  <c r="AK686" i="2"/>
  <c r="AL686" i="2" s="1"/>
  <c r="AC686" i="2"/>
  <c r="AC685" i="2"/>
  <c r="AK685" i="2" s="1"/>
  <c r="AL685" i="2" s="1"/>
  <c r="AL684" i="2"/>
  <c r="AK684" i="2"/>
  <c r="AC684" i="2"/>
  <c r="AL683" i="2"/>
  <c r="AC683" i="2"/>
  <c r="AK683" i="2" s="1"/>
  <c r="AL682" i="2"/>
  <c r="AC682" i="2"/>
  <c r="AK682" i="2" s="1"/>
  <c r="AC681" i="2"/>
  <c r="AK681" i="2" s="1"/>
  <c r="AL681" i="2" s="1"/>
  <c r="AC680" i="2"/>
  <c r="AK680" i="2" s="1"/>
  <c r="AL680" i="2" s="1"/>
  <c r="AC679" i="2"/>
  <c r="AK679" i="2" s="1"/>
  <c r="AL679" i="2" s="1"/>
  <c r="AC678" i="2"/>
  <c r="AK678" i="2" s="1"/>
  <c r="AL678" i="2" s="1"/>
  <c r="AL677" i="2"/>
  <c r="AK677" i="2"/>
  <c r="AC677" i="2"/>
  <c r="AC676" i="2"/>
  <c r="AK676" i="2" s="1"/>
  <c r="AL676" i="2" s="1"/>
  <c r="AL675" i="2"/>
  <c r="AC675" i="2"/>
  <c r="AK675" i="2" s="1"/>
  <c r="AL674" i="2"/>
  <c r="AK674" i="2"/>
  <c r="AC674" i="2"/>
  <c r="AK673" i="2"/>
  <c r="AL673" i="2" s="1"/>
  <c r="AC673" i="2"/>
  <c r="AK672" i="2"/>
  <c r="AL672" i="2" s="1"/>
  <c r="AC672" i="2"/>
  <c r="AC671" i="2"/>
  <c r="AK671" i="2" s="1"/>
  <c r="AL671" i="2" s="1"/>
  <c r="AC670" i="2"/>
  <c r="AK670" i="2" s="1"/>
  <c r="AL670" i="2" s="1"/>
  <c r="AK669" i="2"/>
  <c r="AL669" i="2" s="1"/>
  <c r="AL668" i="2"/>
  <c r="AK668" i="2"/>
  <c r="AL667" i="2"/>
  <c r="AK667" i="2"/>
  <c r="AA666" i="2"/>
  <c r="AK666" i="2" s="1"/>
  <c r="AL666" i="2" s="1"/>
  <c r="AK665" i="2"/>
  <c r="AL665" i="2" s="1"/>
  <c r="AC665" i="2"/>
  <c r="AK664" i="2"/>
  <c r="AL664" i="2" s="1"/>
  <c r="AC664" i="2"/>
  <c r="AK663" i="2"/>
  <c r="AL663" i="2" s="1"/>
  <c r="AC663" i="2"/>
  <c r="AC662" i="2"/>
  <c r="AK662" i="2" s="1"/>
  <c r="AL662" i="2" s="1"/>
  <c r="AK661" i="2"/>
  <c r="AL661" i="2" s="1"/>
  <c r="AC661" i="2"/>
  <c r="AC660" i="2"/>
  <c r="AK660" i="2" s="1"/>
  <c r="AL660" i="2" s="1"/>
  <c r="AC659" i="2"/>
  <c r="AK659" i="2" s="1"/>
  <c r="AL659" i="2" s="1"/>
  <c r="AK658" i="2"/>
  <c r="AL658" i="2" s="1"/>
  <c r="AC658" i="2"/>
  <c r="AK657" i="2"/>
  <c r="AL657" i="2" s="1"/>
  <c r="AC657" i="2"/>
  <c r="AK656" i="2"/>
  <c r="AL656" i="2" s="1"/>
  <c r="AC656" i="2"/>
  <c r="AC655" i="2"/>
  <c r="AK655" i="2" s="1"/>
  <c r="AL655" i="2" s="1"/>
  <c r="AK654" i="2"/>
  <c r="AL654" i="2" s="1"/>
  <c r="AC654" i="2"/>
  <c r="AK653" i="2"/>
  <c r="AL653" i="2" s="1"/>
  <c r="AC653" i="2"/>
  <c r="AK652" i="2"/>
  <c r="AL652" i="2" s="1"/>
  <c r="AC652" i="2"/>
  <c r="AL651" i="2"/>
  <c r="AC651" i="2"/>
  <c r="AK651" i="2" s="1"/>
  <c r="AC650" i="2"/>
  <c r="AK650" i="2" s="1"/>
  <c r="AL650" i="2" s="1"/>
  <c r="AK649" i="2"/>
  <c r="AL649" i="2" s="1"/>
  <c r="AC649" i="2"/>
  <c r="AK648" i="2"/>
  <c r="AL648" i="2" s="1"/>
  <c r="AC648" i="2"/>
  <c r="AK647" i="2"/>
  <c r="AL647" i="2" s="1"/>
  <c r="AC647" i="2"/>
  <c r="AC646" i="2"/>
  <c r="AK646" i="2" s="1"/>
  <c r="AL646" i="2" s="1"/>
  <c r="AK645" i="2"/>
  <c r="AL645" i="2" s="1"/>
  <c r="AK644" i="2"/>
  <c r="AL644" i="2" s="1"/>
  <c r="AC643" i="2"/>
  <c r="AK643" i="2" s="1"/>
  <c r="AL643" i="2" s="1"/>
  <c r="AA643" i="2"/>
  <c r="AK642" i="2"/>
  <c r="AL642" i="2" s="1"/>
  <c r="AL641" i="2"/>
  <c r="AK641" i="2"/>
  <c r="AC640" i="2"/>
  <c r="AA640" i="2"/>
  <c r="AK640" i="2" s="1"/>
  <c r="AL640" i="2" s="1"/>
  <c r="AL639" i="2"/>
  <c r="AK639" i="2"/>
  <c r="AK638" i="2"/>
  <c r="AL638" i="2" s="1"/>
  <c r="AC638" i="2"/>
  <c r="AA638" i="2"/>
  <c r="AL637" i="2"/>
  <c r="AK637" i="2"/>
  <c r="AC636" i="2"/>
  <c r="AA636" i="2"/>
  <c r="AK635" i="2"/>
  <c r="AL635" i="2" s="1"/>
  <c r="AL634" i="2"/>
  <c r="AK634" i="2"/>
  <c r="AL633" i="2"/>
  <c r="AK633" i="2"/>
  <c r="AC632" i="2"/>
  <c r="AA632" i="2"/>
  <c r="AK632" i="2" s="1"/>
  <c r="AL632" i="2" s="1"/>
  <c r="AK631" i="2"/>
  <c r="AL631" i="2" s="1"/>
  <c r="AC630" i="2"/>
  <c r="AA630" i="2"/>
  <c r="AK630" i="2" s="1"/>
  <c r="AL630" i="2" s="1"/>
  <c r="AK629" i="2"/>
  <c r="AL629" i="2" s="1"/>
  <c r="AK628" i="2"/>
  <c r="AL628" i="2" s="1"/>
  <c r="AL627" i="2"/>
  <c r="AC627" i="2"/>
  <c r="AA627" i="2"/>
  <c r="AK627" i="2" s="1"/>
  <c r="AL626" i="2"/>
  <c r="AK626" i="2"/>
  <c r="AK625" i="2"/>
  <c r="AL625" i="2" s="1"/>
  <c r="AK624" i="2"/>
  <c r="AL624" i="2" s="1"/>
  <c r="AC623" i="2"/>
  <c r="AA623" i="2"/>
  <c r="AK623" i="2" s="1"/>
  <c r="AL623" i="2" s="1"/>
  <c r="AL622" i="2"/>
  <c r="AK622" i="2"/>
  <c r="AL621" i="2"/>
  <c r="AK621" i="2"/>
  <c r="AL620" i="2"/>
  <c r="AK620" i="2"/>
  <c r="AC619" i="2"/>
  <c r="AA619" i="2"/>
  <c r="AK619" i="2" s="1"/>
  <c r="AL619" i="2" s="1"/>
  <c r="AL618" i="2"/>
  <c r="AK618" i="2"/>
  <c r="AC618" i="2"/>
  <c r="AA618" i="2"/>
  <c r="AL617" i="2"/>
  <c r="AK617" i="2"/>
  <c r="AK616" i="2"/>
  <c r="AL616" i="2" s="1"/>
  <c r="AC616" i="2"/>
  <c r="AA616" i="2"/>
  <c r="AL615" i="2"/>
  <c r="AK615" i="2"/>
  <c r="AK614" i="2"/>
  <c r="AL614" i="2" s="1"/>
  <c r="AC614" i="2"/>
  <c r="AA614" i="2"/>
  <c r="X614" i="2"/>
  <c r="AL613" i="2"/>
  <c r="AK613" i="2"/>
  <c r="AC612" i="2"/>
  <c r="AA612" i="2"/>
  <c r="AK612" i="2" s="1"/>
  <c r="AL612" i="2" s="1"/>
  <c r="AC611" i="2"/>
  <c r="AK611" i="2" s="1"/>
  <c r="AL611" i="2" s="1"/>
  <c r="AC610" i="2"/>
  <c r="AK610" i="2" s="1"/>
  <c r="AL610" i="2" s="1"/>
  <c r="AL609" i="2"/>
  <c r="AK609" i="2"/>
  <c r="AL608" i="2"/>
  <c r="AK608" i="2"/>
  <c r="AK607" i="2"/>
  <c r="AL607" i="2" s="1"/>
  <c r="AC607" i="2"/>
  <c r="AA607" i="2"/>
  <c r="AK606" i="2"/>
  <c r="AL606" i="2" s="1"/>
  <c r="AC606" i="2"/>
  <c r="AK605" i="2"/>
  <c r="AL605" i="2" s="1"/>
  <c r="AL604" i="2"/>
  <c r="AK604" i="2"/>
  <c r="AC603" i="2"/>
  <c r="AA603" i="2"/>
  <c r="AK603" i="2" s="1"/>
  <c r="AL603" i="2" s="1"/>
  <c r="AK602" i="2"/>
  <c r="AL602" i="2" s="1"/>
  <c r="AC602" i="2"/>
  <c r="AK601" i="2"/>
  <c r="AL601" i="2" s="1"/>
  <c r="AC601" i="2"/>
  <c r="AA601" i="2"/>
  <c r="AK600" i="2"/>
  <c r="AL600" i="2" s="1"/>
  <c r="AC600" i="2"/>
  <c r="AK599" i="2"/>
  <c r="AL599" i="2" s="1"/>
  <c r="AC599" i="2"/>
  <c r="AA599" i="2"/>
  <c r="AL598" i="2"/>
  <c r="AK598" i="2"/>
  <c r="AC598" i="2"/>
  <c r="AC597" i="2"/>
  <c r="AK597" i="2" s="1"/>
  <c r="AL597" i="2" s="1"/>
  <c r="AK596" i="2"/>
  <c r="AL596" i="2" s="1"/>
  <c r="AC596" i="2"/>
  <c r="AC595" i="2"/>
  <c r="AK595" i="2" s="1"/>
  <c r="AL595" i="2" s="1"/>
  <c r="AK594" i="2"/>
  <c r="AL594" i="2" s="1"/>
  <c r="AC594" i="2"/>
  <c r="AL593" i="2"/>
  <c r="AK593" i="2"/>
  <c r="AK592" i="2"/>
  <c r="AL592" i="2" s="1"/>
  <c r="AK591" i="2"/>
  <c r="AL591" i="2" s="1"/>
  <c r="X591" i="2"/>
  <c r="AL590" i="2"/>
  <c r="AK590" i="2"/>
  <c r="AC589" i="2"/>
  <c r="AK589" i="2" s="1"/>
  <c r="AL589" i="2" s="1"/>
  <c r="AC588" i="2"/>
  <c r="AA588" i="2"/>
  <c r="X588" i="2"/>
  <c r="AK588" i="2" s="1"/>
  <c r="AL588" i="2" s="1"/>
  <c r="AL587" i="2"/>
  <c r="AC587" i="2"/>
  <c r="AK587" i="2" s="1"/>
  <c r="AK586" i="2"/>
  <c r="AL586" i="2" s="1"/>
  <c r="AK585" i="2"/>
  <c r="AL585" i="2" s="1"/>
  <c r="AC585" i="2"/>
  <c r="AC584" i="2"/>
  <c r="AK584" i="2" s="1"/>
  <c r="AL584" i="2" s="1"/>
  <c r="AA584" i="2"/>
  <c r="AK583" i="2"/>
  <c r="AL583" i="2" s="1"/>
  <c r="AC583" i="2"/>
  <c r="AC582" i="2"/>
  <c r="AK582" i="2" s="1"/>
  <c r="AL582" i="2" s="1"/>
  <c r="AC581" i="2"/>
  <c r="AA581" i="2"/>
  <c r="AK581" i="2" s="1"/>
  <c r="AL581" i="2" s="1"/>
  <c r="AK580" i="2"/>
  <c r="AL580" i="2" s="1"/>
  <c r="AC580" i="2"/>
  <c r="AC579" i="2"/>
  <c r="AA579" i="2"/>
  <c r="AK579" i="2" s="1"/>
  <c r="AL579" i="2" s="1"/>
  <c r="AK578" i="2"/>
  <c r="AL578" i="2" s="1"/>
  <c r="AC578" i="2"/>
  <c r="AK577" i="2"/>
  <c r="AL577" i="2" s="1"/>
  <c r="AC577" i="2"/>
  <c r="AC576" i="2"/>
  <c r="AK576" i="2" s="1"/>
  <c r="AL576" i="2" s="1"/>
  <c r="AK575" i="2"/>
  <c r="AL575" i="2" s="1"/>
  <c r="AC575" i="2"/>
  <c r="AL574" i="2"/>
  <c r="AK574" i="2"/>
  <c r="AC574" i="2"/>
  <c r="AC573" i="2"/>
  <c r="AK573" i="2" s="1"/>
  <c r="AL573" i="2" s="1"/>
  <c r="AK572" i="2"/>
  <c r="AL572" i="2" s="1"/>
  <c r="AC572" i="2"/>
  <c r="AA572" i="2"/>
  <c r="AL571" i="2"/>
  <c r="AC571" i="2"/>
  <c r="AK571" i="2" s="1"/>
  <c r="AL570" i="2"/>
  <c r="AK570" i="2"/>
  <c r="AC570" i="2"/>
  <c r="AC569" i="2"/>
  <c r="AK569" i="2" s="1"/>
  <c r="AL569" i="2" s="1"/>
  <c r="AL568" i="2"/>
  <c r="AC568" i="2"/>
  <c r="AK568" i="2" s="1"/>
  <c r="AC567" i="2"/>
  <c r="AK567" i="2" s="1"/>
  <c r="AL567" i="2" s="1"/>
  <c r="AC566" i="2"/>
  <c r="AA566" i="2"/>
  <c r="AK566" i="2" s="1"/>
  <c r="AL566" i="2" s="1"/>
  <c r="AL565" i="2"/>
  <c r="AK565" i="2"/>
  <c r="AC565" i="2"/>
  <c r="AK564" i="2"/>
  <c r="AL564" i="2" s="1"/>
  <c r="AC564" i="2"/>
  <c r="AK563" i="2"/>
  <c r="AL563" i="2" s="1"/>
  <c r="AL562" i="2"/>
  <c r="AK562" i="2"/>
  <c r="AC562" i="2"/>
  <c r="AK561" i="2"/>
  <c r="AL561" i="2" s="1"/>
  <c r="AC561" i="2"/>
  <c r="AA561" i="2"/>
  <c r="AL560" i="2"/>
  <c r="AC560" i="2"/>
  <c r="AK560" i="2" s="1"/>
  <c r="AC559" i="2"/>
  <c r="AK559" i="2" s="1"/>
  <c r="AL559" i="2" s="1"/>
  <c r="AL558" i="2"/>
  <c r="AC558" i="2"/>
  <c r="AK558" i="2" s="1"/>
  <c r="AL557" i="2"/>
  <c r="AK557" i="2"/>
  <c r="AC557" i="2"/>
  <c r="AK556" i="2"/>
  <c r="AL556" i="2" s="1"/>
  <c r="AC556" i="2"/>
  <c r="AA556" i="2"/>
  <c r="X556" i="2"/>
  <c r="AC555" i="2"/>
  <c r="AK555" i="2" s="1"/>
  <c r="AL555" i="2" s="1"/>
  <c r="AK554" i="2"/>
  <c r="AL554" i="2" s="1"/>
  <c r="AC554" i="2"/>
  <c r="AL553" i="2"/>
  <c r="AK553" i="2"/>
  <c r="AK552" i="2"/>
  <c r="AL552" i="2" s="1"/>
  <c r="AC552" i="2"/>
  <c r="AK551" i="2"/>
  <c r="AL551" i="2" s="1"/>
  <c r="AC551" i="2"/>
  <c r="AA551" i="2"/>
  <c r="AK550" i="2"/>
  <c r="AL550" i="2" s="1"/>
  <c r="AC550" i="2"/>
  <c r="AK549" i="2"/>
  <c r="AL549" i="2" s="1"/>
  <c r="AC549" i="2"/>
  <c r="AK548" i="2"/>
  <c r="AL548" i="2" s="1"/>
  <c r="AC548" i="2"/>
  <c r="AC547" i="2"/>
  <c r="AA547" i="2"/>
  <c r="AL546" i="2"/>
  <c r="AK546" i="2"/>
  <c r="AC546" i="2"/>
  <c r="AC545" i="2"/>
  <c r="AK545" i="2" s="1"/>
  <c r="AL545" i="2" s="1"/>
  <c r="AA545" i="2"/>
  <c r="X545" i="2"/>
  <c r="AK544" i="2"/>
  <c r="AL544" i="2" s="1"/>
  <c r="AC544" i="2"/>
  <c r="AC543" i="2"/>
  <c r="AK543" i="2" s="1"/>
  <c r="AL543" i="2" s="1"/>
  <c r="AC542" i="2"/>
  <c r="AK542" i="2" s="1"/>
  <c r="AL542" i="2" s="1"/>
  <c r="AK541" i="2"/>
  <c r="AL541" i="2" s="1"/>
  <c r="AC541" i="2"/>
  <c r="AC540" i="2"/>
  <c r="AA540" i="2"/>
  <c r="AK540" i="2" s="1"/>
  <c r="AL540" i="2" s="1"/>
  <c r="AK539" i="2"/>
  <c r="AL539" i="2" s="1"/>
  <c r="AC538" i="2"/>
  <c r="AK538" i="2" s="1"/>
  <c r="AL538" i="2" s="1"/>
  <c r="AE537" i="2"/>
  <c r="AK537" i="2" s="1"/>
  <c r="AL537" i="2" s="1"/>
  <c r="AC537" i="2"/>
  <c r="AA537" i="2"/>
  <c r="AL536" i="2"/>
  <c r="AC536" i="2"/>
  <c r="AK536" i="2" s="1"/>
  <c r="AK535" i="2"/>
  <c r="AL535" i="2" s="1"/>
  <c r="AC535" i="2"/>
  <c r="AK534" i="2"/>
  <c r="AL534" i="2" s="1"/>
  <c r="AC534" i="2"/>
  <c r="AK533" i="2"/>
  <c r="AL533" i="2" s="1"/>
  <c r="AC533" i="2"/>
  <c r="AC532" i="2"/>
  <c r="AA532" i="2"/>
  <c r="X532" i="2"/>
  <c r="AC531" i="2"/>
  <c r="AK531" i="2" s="1"/>
  <c r="AL531" i="2" s="1"/>
  <c r="AC530" i="2"/>
  <c r="AK530" i="2" s="1"/>
  <c r="AL530" i="2" s="1"/>
  <c r="AK529" i="2"/>
  <c r="AL529" i="2" s="1"/>
  <c r="AC529" i="2"/>
  <c r="AA529" i="2"/>
  <c r="AC528" i="2"/>
  <c r="AA528" i="2"/>
  <c r="X528" i="2"/>
  <c r="AK528" i="2" s="1"/>
  <c r="AL528" i="2" s="1"/>
  <c r="AL527" i="2"/>
  <c r="AK527" i="2"/>
  <c r="AC527" i="2"/>
  <c r="AK526" i="2"/>
  <c r="AL526" i="2" s="1"/>
  <c r="AC526" i="2"/>
  <c r="AC525" i="2"/>
  <c r="AK525" i="2" s="1"/>
  <c r="AL525" i="2" s="1"/>
  <c r="AC524" i="2"/>
  <c r="AK524" i="2" s="1"/>
  <c r="AL524" i="2" s="1"/>
  <c r="AK523" i="2"/>
  <c r="AL523" i="2" s="1"/>
  <c r="AC523" i="2"/>
  <c r="AC522" i="2"/>
  <c r="AK522" i="2" s="1"/>
  <c r="AL522" i="2" s="1"/>
  <c r="AC521" i="2"/>
  <c r="AK521" i="2" s="1"/>
  <c r="AL521" i="2" s="1"/>
  <c r="AL520" i="2"/>
  <c r="AK520" i="2"/>
  <c r="AA520" i="2"/>
  <c r="AC519" i="2"/>
  <c r="AK519" i="2" s="1"/>
  <c r="AL519" i="2" s="1"/>
  <c r="AC518" i="2"/>
  <c r="AK518" i="2" s="1"/>
  <c r="AL518" i="2" s="1"/>
  <c r="AL517" i="2"/>
  <c r="AC517" i="2"/>
  <c r="AK517" i="2" s="1"/>
  <c r="AK516" i="2"/>
  <c r="AL516" i="2" s="1"/>
  <c r="AA516" i="2"/>
  <c r="AK515" i="2"/>
  <c r="AL515" i="2" s="1"/>
  <c r="AL514" i="2"/>
  <c r="AK514" i="2"/>
  <c r="AK513" i="2"/>
  <c r="AL513" i="2" s="1"/>
  <c r="AC513" i="2"/>
  <c r="AC512" i="2"/>
  <c r="AK512" i="2" s="1"/>
  <c r="AL512" i="2" s="1"/>
  <c r="AC511" i="2"/>
  <c r="AK511" i="2" s="1"/>
  <c r="AL511" i="2" s="1"/>
  <c r="AA511" i="2"/>
  <c r="AK510" i="2"/>
  <c r="AL510" i="2" s="1"/>
  <c r="AC510" i="2"/>
  <c r="AL509" i="2"/>
  <c r="AK509" i="2"/>
  <c r="AL508" i="2"/>
  <c r="AK508" i="2"/>
  <c r="AC507" i="2"/>
  <c r="AK507" i="2" s="1"/>
  <c r="AL507" i="2" s="1"/>
  <c r="AC506" i="2"/>
  <c r="AK506" i="2" s="1"/>
  <c r="AL506" i="2" s="1"/>
  <c r="AC505" i="2"/>
  <c r="AA505" i="2"/>
  <c r="AK504" i="2"/>
  <c r="AL504" i="2" s="1"/>
  <c r="AC504" i="2"/>
  <c r="AA504" i="2"/>
  <c r="AL503" i="2"/>
  <c r="AC503" i="2"/>
  <c r="AK503" i="2" s="1"/>
  <c r="AK502" i="2"/>
  <c r="AL502" i="2" s="1"/>
  <c r="AC502" i="2"/>
  <c r="AK501" i="2"/>
  <c r="AL501" i="2" s="1"/>
  <c r="AC500" i="2"/>
  <c r="AK500" i="2" s="1"/>
  <c r="AL500" i="2" s="1"/>
  <c r="AC499" i="2"/>
  <c r="AA499" i="2"/>
  <c r="AK499" i="2" s="1"/>
  <c r="AL499" i="2" s="1"/>
  <c r="AK498" i="2"/>
  <c r="AL498" i="2" s="1"/>
  <c r="AL497" i="2"/>
  <c r="AC497" i="2"/>
  <c r="AK497" i="2" s="1"/>
  <c r="AA496" i="2"/>
  <c r="AK496" i="2" s="1"/>
  <c r="AL496" i="2" s="1"/>
  <c r="AC495" i="2"/>
  <c r="X495" i="2"/>
  <c r="AK495" i="2" s="1"/>
  <c r="AL495" i="2" s="1"/>
  <c r="AK494" i="2"/>
  <c r="AL494" i="2" s="1"/>
  <c r="AE493" i="2"/>
  <c r="AK493" i="2" s="1"/>
  <c r="AL493" i="2" s="1"/>
  <c r="AC492" i="2"/>
  <c r="AK492" i="2" s="1"/>
  <c r="AL492" i="2" s="1"/>
  <c r="AK491" i="2"/>
  <c r="AL491" i="2" s="1"/>
  <c r="AL490" i="2"/>
  <c r="AK490" i="2"/>
  <c r="AE489" i="2"/>
  <c r="AA489" i="2"/>
  <c r="AK489" i="2" s="1"/>
  <c r="AL489" i="2" s="1"/>
  <c r="AK488" i="2"/>
  <c r="AL488" i="2" s="1"/>
  <c r="X488" i="2"/>
  <c r="AC487" i="2"/>
  <c r="AK487" i="2" s="1"/>
  <c r="AL487" i="2" s="1"/>
  <c r="AC486" i="2"/>
  <c r="AK486" i="2" s="1"/>
  <c r="AL486" i="2" s="1"/>
  <c r="AC485" i="2"/>
  <c r="AK485" i="2" s="1"/>
  <c r="AL485" i="2" s="1"/>
  <c r="AK484" i="2"/>
  <c r="AL484" i="2" s="1"/>
  <c r="AE483" i="2"/>
  <c r="AC483" i="2"/>
  <c r="AA483" i="2"/>
  <c r="AC482" i="2"/>
  <c r="AK482" i="2" s="1"/>
  <c r="AL482" i="2" s="1"/>
  <c r="AC481" i="2"/>
  <c r="AA481" i="2"/>
  <c r="AK481" i="2" s="1"/>
  <c r="AL481" i="2" s="1"/>
  <c r="AL480" i="2"/>
  <c r="AK480" i="2"/>
  <c r="AK479" i="2"/>
  <c r="AL479" i="2" s="1"/>
  <c r="AC479" i="2"/>
  <c r="AC478" i="2"/>
  <c r="AK478" i="2" s="1"/>
  <c r="AL478" i="2" s="1"/>
  <c r="AA478" i="2"/>
  <c r="AC477" i="2"/>
  <c r="AK477" i="2" s="1"/>
  <c r="AL477" i="2" s="1"/>
  <c r="AL476" i="2"/>
  <c r="AK476" i="2"/>
  <c r="AE475" i="2"/>
  <c r="AC475" i="2"/>
  <c r="AA475" i="2"/>
  <c r="AK475" i="2" s="1"/>
  <c r="AL475" i="2" s="1"/>
  <c r="AK474" i="2"/>
  <c r="AL474" i="2" s="1"/>
  <c r="AC473" i="2"/>
  <c r="AK473" i="2" s="1"/>
  <c r="AL473" i="2" s="1"/>
  <c r="AC472" i="2"/>
  <c r="AA472" i="2"/>
  <c r="AL471" i="2"/>
  <c r="AK471" i="2"/>
  <c r="AC470" i="2"/>
  <c r="AK470" i="2" s="1"/>
  <c r="AL470" i="2" s="1"/>
  <c r="AK469" i="2"/>
  <c r="AL469" i="2" s="1"/>
  <c r="AC469" i="2"/>
  <c r="AC468" i="2"/>
  <c r="AA468" i="2"/>
  <c r="AK468" i="2" s="1"/>
  <c r="AL468" i="2" s="1"/>
  <c r="AC467" i="2"/>
  <c r="AK467" i="2" s="1"/>
  <c r="AL467" i="2" s="1"/>
  <c r="AK466" i="2"/>
  <c r="AL466" i="2" s="1"/>
  <c r="AC466" i="2"/>
  <c r="AC465" i="2"/>
  <c r="AK465" i="2" s="1"/>
  <c r="AL465" i="2" s="1"/>
  <c r="AL464" i="2"/>
  <c r="AK464" i="2"/>
  <c r="AC464" i="2"/>
  <c r="AL463" i="2"/>
  <c r="AK463" i="2"/>
  <c r="AK462" i="2"/>
  <c r="AL462" i="2" s="1"/>
  <c r="AC462" i="2"/>
  <c r="AE461" i="2"/>
  <c r="AA461" i="2"/>
  <c r="X461" i="2"/>
  <c r="AL460" i="2"/>
  <c r="AK460" i="2"/>
  <c r="AC460" i="2"/>
  <c r="AC459" i="2"/>
  <c r="AK459" i="2" s="1"/>
  <c r="AL459" i="2" s="1"/>
  <c r="AC458" i="2"/>
  <c r="AK458" i="2" s="1"/>
  <c r="AL458" i="2" s="1"/>
  <c r="AC457" i="2"/>
  <c r="AA457" i="2"/>
  <c r="X457" i="2"/>
  <c r="AK457" i="2" s="1"/>
  <c r="AL457" i="2" s="1"/>
  <c r="AK456" i="2"/>
  <c r="AL456" i="2" s="1"/>
  <c r="AL455" i="2"/>
  <c r="AK455" i="2"/>
  <c r="AK454" i="2"/>
  <c r="AL454" i="2" s="1"/>
  <c r="AC453" i="2"/>
  <c r="AK453" i="2" s="1"/>
  <c r="AL453" i="2" s="1"/>
  <c r="AL452" i="2"/>
  <c r="AK452" i="2"/>
  <c r="AA452" i="2"/>
  <c r="AK451" i="2"/>
  <c r="AL451" i="2" s="1"/>
  <c r="AC451" i="2"/>
  <c r="AC450" i="2"/>
  <c r="AK450" i="2" s="1"/>
  <c r="AL450" i="2" s="1"/>
  <c r="AL449" i="2"/>
  <c r="AK449" i="2"/>
  <c r="AK448" i="2"/>
  <c r="AL448" i="2" s="1"/>
  <c r="AC448" i="2"/>
  <c r="AA448" i="2"/>
  <c r="AK447" i="2"/>
  <c r="AL447" i="2" s="1"/>
  <c r="AC446" i="2"/>
  <c r="AK446" i="2" s="1"/>
  <c r="AL446" i="2" s="1"/>
  <c r="AA446" i="2"/>
  <c r="AL445" i="2"/>
  <c r="AK445" i="2"/>
  <c r="AC445" i="2"/>
  <c r="AL444" i="2"/>
  <c r="AK444" i="2"/>
  <c r="AC444" i="2"/>
  <c r="AC443" i="2"/>
  <c r="AA443" i="2"/>
  <c r="AK443" i="2" s="1"/>
  <c r="AL443" i="2" s="1"/>
  <c r="AC442" i="2"/>
  <c r="AK442" i="2" s="1"/>
  <c r="AL442" i="2" s="1"/>
  <c r="AK441" i="2"/>
  <c r="AL441" i="2" s="1"/>
  <c r="AC441" i="2"/>
  <c r="AC440" i="2"/>
  <c r="AA440" i="2"/>
  <c r="AK440" i="2" s="1"/>
  <c r="AL440" i="2" s="1"/>
  <c r="AK439" i="2"/>
  <c r="AL439" i="2" s="1"/>
  <c r="AC439" i="2"/>
  <c r="AC438" i="2"/>
  <c r="AA438" i="2"/>
  <c r="X438" i="2"/>
  <c r="AK438" i="2" s="1"/>
  <c r="AL438" i="2" s="1"/>
  <c r="AK437" i="2"/>
  <c r="AL437" i="2" s="1"/>
  <c r="AC437" i="2"/>
  <c r="AK436" i="2"/>
  <c r="AL436" i="2" s="1"/>
  <c r="AC436" i="2"/>
  <c r="AC435" i="2"/>
  <c r="AK435" i="2" s="1"/>
  <c r="AL435" i="2" s="1"/>
  <c r="AC434" i="2"/>
  <c r="AA434" i="2"/>
  <c r="X434" i="2"/>
  <c r="AK434" i="2" s="1"/>
  <c r="AL434" i="2" s="1"/>
  <c r="AC433" i="2"/>
  <c r="AK433" i="2" s="1"/>
  <c r="AL433" i="2" s="1"/>
  <c r="AC432" i="2"/>
  <c r="AA432" i="2"/>
  <c r="X432" i="2"/>
  <c r="AK432" i="2" s="1"/>
  <c r="AL432" i="2" s="1"/>
  <c r="AK431" i="2"/>
  <c r="AL431" i="2" s="1"/>
  <c r="AC431" i="2"/>
  <c r="AC430" i="2"/>
  <c r="AA430" i="2"/>
  <c r="AK429" i="2"/>
  <c r="AL429" i="2" s="1"/>
  <c r="AC429" i="2"/>
  <c r="AK428" i="2"/>
  <c r="AL428" i="2" s="1"/>
  <c r="AC428" i="2"/>
  <c r="AC427" i="2"/>
  <c r="AK427" i="2" s="1"/>
  <c r="AL427" i="2" s="1"/>
  <c r="AL426" i="2"/>
  <c r="AK426" i="2"/>
  <c r="AC426" i="2"/>
  <c r="AC425" i="2"/>
  <c r="AA425" i="2"/>
  <c r="AK424" i="2"/>
  <c r="AL424" i="2" s="1"/>
  <c r="AC424" i="2"/>
  <c r="AK423" i="2"/>
  <c r="AL423" i="2" s="1"/>
  <c r="AC423" i="2"/>
  <c r="AK422" i="2"/>
  <c r="AL422" i="2" s="1"/>
  <c r="AC422" i="2"/>
  <c r="AA422" i="2"/>
  <c r="AL421" i="2"/>
  <c r="AK421" i="2"/>
  <c r="AC421" i="2"/>
  <c r="AC420" i="2"/>
  <c r="AK420" i="2" s="1"/>
  <c r="AL420" i="2" s="1"/>
  <c r="AL419" i="2"/>
  <c r="AC419" i="2"/>
  <c r="AA419" i="2"/>
  <c r="AK419" i="2" s="1"/>
  <c r="AL418" i="2"/>
  <c r="AC418" i="2"/>
  <c r="AK418" i="2" s="1"/>
  <c r="AC417" i="2"/>
  <c r="AK417" i="2" s="1"/>
  <c r="AL417" i="2" s="1"/>
  <c r="AK416" i="2"/>
  <c r="AL416" i="2" s="1"/>
  <c r="AC416" i="2"/>
  <c r="AA416" i="2"/>
  <c r="AL415" i="2"/>
  <c r="AK415" i="2"/>
  <c r="AC415" i="2"/>
  <c r="AK414" i="2"/>
  <c r="AL414" i="2" s="1"/>
  <c r="AC414" i="2"/>
  <c r="AC413" i="2"/>
  <c r="AK413" i="2" s="1"/>
  <c r="AL413" i="2" s="1"/>
  <c r="AC412" i="2"/>
  <c r="AK412" i="2" s="1"/>
  <c r="AL412" i="2" s="1"/>
  <c r="AK411" i="2"/>
  <c r="AL411" i="2" s="1"/>
  <c r="AC411" i="2"/>
  <c r="AK410" i="2"/>
  <c r="AL410" i="2" s="1"/>
  <c r="AC410" i="2"/>
  <c r="AA410" i="2"/>
  <c r="AC409" i="2"/>
  <c r="AK409" i="2" s="1"/>
  <c r="AL409" i="2" s="1"/>
  <c r="AC408" i="2"/>
  <c r="AA408" i="2"/>
  <c r="AK408" i="2" s="1"/>
  <c r="AL408" i="2" s="1"/>
  <c r="AL407" i="2"/>
  <c r="AC407" i="2"/>
  <c r="AK407" i="2" s="1"/>
  <c r="AL406" i="2"/>
  <c r="AC406" i="2"/>
  <c r="AK406" i="2" s="1"/>
  <c r="AC405" i="2"/>
  <c r="AK405" i="2" s="1"/>
  <c r="AL405" i="2" s="1"/>
  <c r="AA405" i="2"/>
  <c r="AK404" i="2"/>
  <c r="AL404" i="2" s="1"/>
  <c r="AL403" i="2"/>
  <c r="AK403" i="2"/>
  <c r="AL402" i="2"/>
  <c r="AK402" i="2"/>
  <c r="AK401" i="2"/>
  <c r="AL401" i="2" s="1"/>
  <c r="AC401" i="2"/>
  <c r="AA401" i="2"/>
  <c r="AL400" i="2"/>
  <c r="AC400" i="2"/>
  <c r="AK400" i="2" s="1"/>
  <c r="AC399" i="2"/>
  <c r="AA399" i="2"/>
  <c r="AK399" i="2" s="1"/>
  <c r="AL399" i="2" s="1"/>
  <c r="AL398" i="2"/>
  <c r="AK398" i="2"/>
  <c r="AL397" i="2"/>
  <c r="AC397" i="2"/>
  <c r="AA397" i="2"/>
  <c r="AK397" i="2" s="1"/>
  <c r="AL396" i="2"/>
  <c r="AK396" i="2"/>
  <c r="AC396" i="2"/>
  <c r="AC395" i="2"/>
  <c r="AK395" i="2" s="1"/>
  <c r="AL395" i="2" s="1"/>
  <c r="AA395" i="2"/>
  <c r="AC394" i="2"/>
  <c r="AK394" i="2" s="1"/>
  <c r="AL394" i="2" s="1"/>
  <c r="AL393" i="2"/>
  <c r="AK393" i="2"/>
  <c r="AC393" i="2"/>
  <c r="AA393" i="2"/>
  <c r="AL392" i="2"/>
  <c r="AK392" i="2"/>
  <c r="AC392" i="2"/>
  <c r="AC391" i="2"/>
  <c r="AA391" i="2"/>
  <c r="AK391" i="2" s="1"/>
  <c r="AL391" i="2" s="1"/>
  <c r="AC390" i="2"/>
  <c r="AK390" i="2" s="1"/>
  <c r="AL390" i="2" s="1"/>
  <c r="AC389" i="2"/>
  <c r="AK389" i="2" s="1"/>
  <c r="AL389" i="2" s="1"/>
  <c r="AA389" i="2"/>
  <c r="X389" i="2"/>
  <c r="AC388" i="2"/>
  <c r="AK388" i="2" s="1"/>
  <c r="AL388" i="2" s="1"/>
  <c r="AL387" i="2"/>
  <c r="AC387" i="2"/>
  <c r="AK387" i="2" s="1"/>
  <c r="AL386" i="2"/>
  <c r="AC386" i="2"/>
  <c r="AK386" i="2" s="1"/>
  <c r="AE385" i="2"/>
  <c r="AK385" i="2" s="1"/>
  <c r="AL385" i="2" s="1"/>
  <c r="AC385" i="2"/>
  <c r="AK384" i="2"/>
  <c r="AL384" i="2" s="1"/>
  <c r="AC384" i="2"/>
  <c r="AK383" i="2"/>
  <c r="AL383" i="2" s="1"/>
  <c r="AC383" i="2"/>
  <c r="AC382" i="2"/>
  <c r="AK382" i="2" s="1"/>
  <c r="AL382" i="2" s="1"/>
  <c r="AC381" i="2"/>
  <c r="AK381" i="2" s="1"/>
  <c r="AL381" i="2" s="1"/>
  <c r="AA381" i="2"/>
  <c r="AK380" i="2"/>
  <c r="AL380" i="2" s="1"/>
  <c r="AK379" i="2"/>
  <c r="AL379" i="2" s="1"/>
  <c r="AC379" i="2"/>
  <c r="AL378" i="2"/>
  <c r="AK378" i="2"/>
  <c r="AC378" i="2"/>
  <c r="AC377" i="2"/>
  <c r="AK377" i="2" s="1"/>
  <c r="AL377" i="2" s="1"/>
  <c r="AL376" i="2"/>
  <c r="AK376" i="2"/>
  <c r="AC376" i="2"/>
  <c r="AK375" i="2"/>
  <c r="AL375" i="2" s="1"/>
  <c r="AC375" i="2"/>
  <c r="X375" i="2"/>
  <c r="AL374" i="2"/>
  <c r="AC374" i="2"/>
  <c r="AK374" i="2" s="1"/>
  <c r="AC373" i="2"/>
  <c r="AK373" i="2" s="1"/>
  <c r="AL373" i="2" s="1"/>
  <c r="X373" i="2"/>
  <c r="AL372" i="2"/>
  <c r="AK372" i="2"/>
  <c r="AC372" i="2"/>
  <c r="AC371" i="2"/>
  <c r="AA371" i="2"/>
  <c r="AK371" i="2" s="1"/>
  <c r="AL371" i="2" s="1"/>
  <c r="AL370" i="2"/>
  <c r="AC370" i="2"/>
  <c r="AK370" i="2" s="1"/>
  <c r="AK369" i="2"/>
  <c r="AL369" i="2" s="1"/>
  <c r="AC369" i="2"/>
  <c r="AK368" i="2"/>
  <c r="AL368" i="2" s="1"/>
  <c r="AC368" i="2"/>
  <c r="AK367" i="2"/>
  <c r="AL367" i="2" s="1"/>
  <c r="AC367" i="2"/>
  <c r="AA367" i="2"/>
  <c r="AK366" i="2"/>
  <c r="AL366" i="2" s="1"/>
  <c r="AC366" i="2"/>
  <c r="AC365" i="2"/>
  <c r="AA365" i="2"/>
  <c r="AK365" i="2" s="1"/>
  <c r="AL365" i="2" s="1"/>
  <c r="AL364" i="2"/>
  <c r="AC364" i="2"/>
  <c r="AK364" i="2" s="1"/>
  <c r="AE363" i="2"/>
  <c r="AK363" i="2" s="1"/>
  <c r="AL363" i="2" s="1"/>
  <c r="AC363" i="2"/>
  <c r="AK362" i="2"/>
  <c r="AL362" i="2" s="1"/>
  <c r="AC361" i="2"/>
  <c r="AK361" i="2" s="1"/>
  <c r="AL361" i="2" s="1"/>
  <c r="AK360" i="2"/>
  <c r="AL360" i="2" s="1"/>
  <c r="AC360" i="2"/>
  <c r="AA360" i="2"/>
  <c r="X360" i="2"/>
  <c r="AC359" i="2"/>
  <c r="AK359" i="2" s="1"/>
  <c r="AL359" i="2" s="1"/>
  <c r="AC358" i="2"/>
  <c r="AA358" i="2"/>
  <c r="AK358" i="2" s="1"/>
  <c r="AL358" i="2" s="1"/>
  <c r="AC357" i="2"/>
  <c r="AK357" i="2" s="1"/>
  <c r="AL357" i="2" s="1"/>
  <c r="AL356" i="2"/>
  <c r="AK356" i="2"/>
  <c r="AC356" i="2"/>
  <c r="AA356" i="2"/>
  <c r="AK355" i="2"/>
  <c r="AL355" i="2" s="1"/>
  <c r="AC355" i="2"/>
  <c r="AC354" i="2"/>
  <c r="AK354" i="2" s="1"/>
  <c r="AL354" i="2" s="1"/>
  <c r="AL353" i="2"/>
  <c r="AK353" i="2"/>
  <c r="AC353" i="2"/>
  <c r="AL352" i="2"/>
  <c r="AC352" i="2"/>
  <c r="AK352" i="2" s="1"/>
  <c r="AK351" i="2"/>
  <c r="AL351" i="2" s="1"/>
  <c r="AE351" i="2"/>
  <c r="AC351" i="2"/>
  <c r="AE350" i="2"/>
  <c r="AK350" i="2" s="1"/>
  <c r="AL350" i="2" s="1"/>
  <c r="AC350" i="2"/>
  <c r="AC349" i="2"/>
  <c r="AK349" i="2" s="1"/>
  <c r="AL349" i="2" s="1"/>
  <c r="AK348" i="2"/>
  <c r="AL348" i="2" s="1"/>
  <c r="AC348" i="2"/>
  <c r="AC347" i="2"/>
  <c r="AK347" i="2" s="1"/>
  <c r="AL347" i="2" s="1"/>
  <c r="AL346" i="2"/>
  <c r="AK346" i="2"/>
  <c r="AC346" i="2"/>
  <c r="AL345" i="2"/>
  <c r="AK345" i="2"/>
  <c r="AC345" i="2"/>
  <c r="AK344" i="2"/>
  <c r="AL344" i="2" s="1"/>
  <c r="AC344" i="2"/>
  <c r="AA344" i="2"/>
  <c r="X344" i="2"/>
  <c r="AC343" i="2"/>
  <c r="AK343" i="2" s="1"/>
  <c r="AL343" i="2" s="1"/>
  <c r="AK342" i="2"/>
  <c r="AL342" i="2" s="1"/>
  <c r="AC342" i="2"/>
  <c r="AC341" i="2"/>
  <c r="AA341" i="2"/>
  <c r="AK341" i="2" s="1"/>
  <c r="AL341" i="2" s="1"/>
  <c r="AC340" i="2"/>
  <c r="AK340" i="2" s="1"/>
  <c r="AL340" i="2" s="1"/>
  <c r="AL339" i="2"/>
  <c r="AK339" i="2"/>
  <c r="AC339" i="2"/>
  <c r="AC338" i="2"/>
  <c r="AK338" i="2" s="1"/>
  <c r="AL338" i="2" s="1"/>
  <c r="AA338" i="2"/>
  <c r="AC337" i="2"/>
  <c r="AK337" i="2" s="1"/>
  <c r="AL337" i="2" s="1"/>
  <c r="AK336" i="2"/>
  <c r="AL336" i="2" s="1"/>
  <c r="AC336" i="2"/>
  <c r="AC335" i="2"/>
  <c r="AK335" i="2" s="1"/>
  <c r="AL335" i="2" s="1"/>
  <c r="AC334" i="2"/>
  <c r="AK334" i="2" s="1"/>
  <c r="AL334" i="2" s="1"/>
  <c r="AK333" i="2"/>
  <c r="AL333" i="2" s="1"/>
  <c r="AC333" i="2"/>
  <c r="AC332" i="2"/>
  <c r="AA332" i="2"/>
  <c r="AK332" i="2" s="1"/>
  <c r="AL332" i="2" s="1"/>
  <c r="X332" i="2"/>
  <c r="AC331" i="2"/>
  <c r="AK331" i="2" s="1"/>
  <c r="AL331" i="2" s="1"/>
  <c r="AK330" i="2"/>
  <c r="AL330" i="2" s="1"/>
  <c r="AC330" i="2"/>
  <c r="AC329" i="2"/>
  <c r="AK329" i="2" s="1"/>
  <c r="AL329" i="2" s="1"/>
  <c r="AC328" i="2"/>
  <c r="AA328" i="2"/>
  <c r="AK328" i="2" s="1"/>
  <c r="AL328" i="2" s="1"/>
  <c r="AL327" i="2"/>
  <c r="AK327" i="2"/>
  <c r="AC327" i="2"/>
  <c r="AK326" i="2"/>
  <c r="AL326" i="2" s="1"/>
  <c r="AC326" i="2"/>
  <c r="AC325" i="2"/>
  <c r="AK325" i="2" s="1"/>
  <c r="AL325" i="2" s="1"/>
  <c r="AC324" i="2"/>
  <c r="AK324" i="2" s="1"/>
  <c r="AL324" i="2" s="1"/>
  <c r="AA324" i="2"/>
  <c r="AC323" i="2"/>
  <c r="AK323" i="2" s="1"/>
  <c r="AL323" i="2" s="1"/>
  <c r="AK322" i="2"/>
  <c r="AL322" i="2" s="1"/>
  <c r="AC322" i="2"/>
  <c r="AK321" i="2"/>
  <c r="AL321" i="2" s="1"/>
  <c r="AC321" i="2"/>
  <c r="AC320" i="2"/>
  <c r="AK320" i="2" s="1"/>
  <c r="AL320" i="2" s="1"/>
  <c r="AK319" i="2"/>
  <c r="AL319" i="2" s="1"/>
  <c r="AC319" i="2"/>
  <c r="AA319" i="2"/>
  <c r="X319" i="2"/>
  <c r="AK318" i="2"/>
  <c r="AL318" i="2" s="1"/>
  <c r="AC318" i="2"/>
  <c r="AK317" i="2"/>
  <c r="AL317" i="2" s="1"/>
  <c r="AC317" i="2"/>
  <c r="AK316" i="2"/>
  <c r="AL316" i="2" s="1"/>
  <c r="AC316" i="2"/>
  <c r="AL315" i="2"/>
  <c r="AK315" i="2"/>
  <c r="AC315" i="2"/>
  <c r="AK314" i="2"/>
  <c r="AL314" i="2" s="1"/>
  <c r="AC314" i="2"/>
  <c r="AK313" i="2"/>
  <c r="AL313" i="2" s="1"/>
  <c r="AC313" i="2"/>
  <c r="AA313" i="2"/>
  <c r="AL312" i="2"/>
  <c r="AE312" i="2"/>
  <c r="AK312" i="2" s="1"/>
  <c r="AC312" i="2"/>
  <c r="AC311" i="2"/>
  <c r="AK311" i="2" s="1"/>
  <c r="AL311" i="2" s="1"/>
  <c r="AC310" i="2"/>
  <c r="AA310" i="2"/>
  <c r="AK310" i="2" s="1"/>
  <c r="AL310" i="2" s="1"/>
  <c r="AL309" i="2"/>
  <c r="AK309" i="2"/>
  <c r="AC309" i="2"/>
  <c r="AC308" i="2"/>
  <c r="AA308" i="2"/>
  <c r="AK308" i="2" s="1"/>
  <c r="AL308" i="2" s="1"/>
  <c r="AK307" i="2"/>
  <c r="AL307" i="2" s="1"/>
  <c r="AC307" i="2"/>
  <c r="AK306" i="2"/>
  <c r="AL306" i="2" s="1"/>
  <c r="AC306" i="2"/>
  <c r="AC305" i="2"/>
  <c r="AK305" i="2" s="1"/>
  <c r="AL305" i="2" s="1"/>
  <c r="AC304" i="2"/>
  <c r="AA304" i="2"/>
  <c r="X304" i="2"/>
  <c r="AK304" i="2" s="1"/>
  <c r="AL304" i="2" s="1"/>
  <c r="AC303" i="2"/>
  <c r="AK303" i="2" s="1"/>
  <c r="AL303" i="2" s="1"/>
  <c r="AK302" i="2"/>
  <c r="AL302" i="2" s="1"/>
  <c r="AC302" i="2"/>
  <c r="AC301" i="2"/>
  <c r="AK301" i="2" s="1"/>
  <c r="AL301" i="2" s="1"/>
  <c r="AE300" i="2"/>
  <c r="AC300" i="2"/>
  <c r="AK300" i="2" s="1"/>
  <c r="AL300" i="2" s="1"/>
  <c r="AA300" i="2"/>
  <c r="AK299" i="2"/>
  <c r="AL299" i="2" s="1"/>
  <c r="AC299" i="2"/>
  <c r="AK298" i="2"/>
  <c r="AL298" i="2" s="1"/>
  <c r="AC298" i="2"/>
  <c r="AE297" i="2"/>
  <c r="AC297" i="2"/>
  <c r="AK296" i="2"/>
  <c r="AL296" i="2" s="1"/>
  <c r="AE296" i="2"/>
  <c r="AC296" i="2"/>
  <c r="AL295" i="2"/>
  <c r="AC295" i="2"/>
  <c r="AK295" i="2" s="1"/>
  <c r="AC294" i="2"/>
  <c r="AA294" i="2"/>
  <c r="AK294" i="2" s="1"/>
  <c r="AL294" i="2" s="1"/>
  <c r="AK293" i="2"/>
  <c r="AL293" i="2" s="1"/>
  <c r="AC293" i="2"/>
  <c r="AK292" i="2"/>
  <c r="AL292" i="2" s="1"/>
  <c r="AC292" i="2"/>
  <c r="AA292" i="2"/>
  <c r="X292" i="2"/>
  <c r="AC291" i="2"/>
  <c r="AK291" i="2" s="1"/>
  <c r="AL291" i="2" s="1"/>
  <c r="AC290" i="2"/>
  <c r="AK290" i="2" s="1"/>
  <c r="AL290" i="2" s="1"/>
  <c r="AK289" i="2"/>
  <c r="AL289" i="2" s="1"/>
  <c r="AC289" i="2"/>
  <c r="AC288" i="2"/>
  <c r="AA288" i="2"/>
  <c r="AK288" i="2" s="1"/>
  <c r="AL288" i="2" s="1"/>
  <c r="AC287" i="2"/>
  <c r="AK287" i="2" s="1"/>
  <c r="AL287" i="2" s="1"/>
  <c r="AL286" i="2"/>
  <c r="AK286" i="2"/>
  <c r="AC286" i="2"/>
  <c r="AC285" i="2"/>
  <c r="AK285" i="2" s="1"/>
  <c r="AL285" i="2" s="1"/>
  <c r="AC284" i="2"/>
  <c r="AK284" i="2" s="1"/>
  <c r="AL284" i="2" s="1"/>
  <c r="AL283" i="2"/>
  <c r="AC283" i="2"/>
  <c r="AK283" i="2" s="1"/>
  <c r="AC282" i="2"/>
  <c r="AK282" i="2" s="1"/>
  <c r="AL282" i="2" s="1"/>
  <c r="AA282" i="2"/>
  <c r="AL281" i="2"/>
  <c r="AK281" i="2"/>
  <c r="AC281" i="2"/>
  <c r="AC280" i="2"/>
  <c r="AK280" i="2" s="1"/>
  <c r="AL280" i="2" s="1"/>
  <c r="AK279" i="2"/>
  <c r="AL279" i="2" s="1"/>
  <c r="AC279" i="2"/>
  <c r="AK278" i="2"/>
  <c r="AL278" i="2" s="1"/>
  <c r="AC278" i="2"/>
  <c r="AA278" i="2"/>
  <c r="AL277" i="2"/>
  <c r="AC277" i="2"/>
  <c r="AK277" i="2" s="1"/>
  <c r="AC276" i="2"/>
  <c r="AK276" i="2" s="1"/>
  <c r="AL276" i="2" s="1"/>
  <c r="AC275" i="2"/>
  <c r="AK275" i="2" s="1"/>
  <c r="AL275" i="2" s="1"/>
  <c r="AA275" i="2"/>
  <c r="AL274" i="2"/>
  <c r="AK274" i="2"/>
  <c r="AC274" i="2"/>
  <c r="AK273" i="2"/>
  <c r="AL273" i="2" s="1"/>
  <c r="AC273" i="2"/>
  <c r="AK272" i="2"/>
  <c r="AL272" i="2" s="1"/>
  <c r="AC272" i="2"/>
  <c r="AA272" i="2"/>
  <c r="AL271" i="2"/>
  <c r="AC271" i="2"/>
  <c r="AK271" i="2" s="1"/>
  <c r="AC270" i="2"/>
  <c r="AK270" i="2" s="1"/>
  <c r="AL270" i="2" s="1"/>
  <c r="AC269" i="2"/>
  <c r="AK269" i="2" s="1"/>
  <c r="AL269" i="2" s="1"/>
  <c r="AC268" i="2"/>
  <c r="AK268" i="2" s="1"/>
  <c r="AL268" i="2" s="1"/>
  <c r="AC267" i="2"/>
  <c r="AA267" i="2"/>
  <c r="AK266" i="2"/>
  <c r="AL266" i="2" s="1"/>
  <c r="AC266" i="2"/>
  <c r="AK265" i="2"/>
  <c r="AL265" i="2" s="1"/>
  <c r="AC265" i="2"/>
  <c r="AC264" i="2"/>
  <c r="AK264" i="2" s="1"/>
  <c r="AL264" i="2" s="1"/>
  <c r="AC263" i="2"/>
  <c r="AK263" i="2" s="1"/>
  <c r="AL263" i="2" s="1"/>
  <c r="AC262" i="2"/>
  <c r="AK262" i="2" s="1"/>
  <c r="AL262" i="2" s="1"/>
  <c r="AA262" i="2"/>
  <c r="AC261" i="2"/>
  <c r="AK261" i="2" s="1"/>
  <c r="AL261" i="2" s="1"/>
  <c r="AK260" i="2"/>
  <c r="AL260" i="2" s="1"/>
  <c r="AC260" i="2"/>
  <c r="AC259" i="2"/>
  <c r="AA259" i="2"/>
  <c r="X259" i="2"/>
  <c r="AK259" i="2" s="1"/>
  <c r="AL259" i="2" s="1"/>
  <c r="AK258" i="2"/>
  <c r="AL258" i="2" s="1"/>
  <c r="AC258" i="2"/>
  <c r="AK257" i="2"/>
  <c r="AL257" i="2" s="1"/>
  <c r="AC257" i="2"/>
  <c r="AK256" i="2"/>
  <c r="AL256" i="2" s="1"/>
  <c r="AC256" i="2"/>
  <c r="AC255" i="2"/>
  <c r="AA255" i="2"/>
  <c r="AK254" i="2"/>
  <c r="AL254" i="2" s="1"/>
  <c r="AC254" i="2"/>
  <c r="AL253" i="2"/>
  <c r="AK253" i="2"/>
  <c r="AC253" i="2"/>
  <c r="AL252" i="2"/>
  <c r="AC252" i="2"/>
  <c r="AK252" i="2" s="1"/>
  <c r="AK251" i="2"/>
  <c r="AL251" i="2" s="1"/>
  <c r="AC251" i="2"/>
  <c r="AA251" i="2"/>
  <c r="AL250" i="2"/>
  <c r="AK250" i="2"/>
  <c r="AC250" i="2"/>
  <c r="AL249" i="2"/>
  <c r="AC249" i="2"/>
  <c r="AA249" i="2"/>
  <c r="AK249" i="2" s="1"/>
  <c r="AL248" i="2"/>
  <c r="AK248" i="2"/>
  <c r="AC248" i="2"/>
  <c r="AL247" i="2"/>
  <c r="AK247" i="2"/>
  <c r="AC247" i="2"/>
  <c r="AL246" i="2"/>
  <c r="AC246" i="2"/>
  <c r="AK246" i="2" s="1"/>
  <c r="AE245" i="2"/>
  <c r="AK245" i="2" s="1"/>
  <c r="AL245" i="2" s="1"/>
  <c r="AC245" i="2"/>
  <c r="AA245" i="2"/>
  <c r="AK244" i="2"/>
  <c r="AL244" i="2" s="1"/>
  <c r="AC244" i="2"/>
  <c r="AC243" i="2"/>
  <c r="AK243" i="2" s="1"/>
  <c r="AL243" i="2" s="1"/>
  <c r="AK242" i="2"/>
  <c r="AL242" i="2" s="1"/>
  <c r="AC242" i="2"/>
  <c r="AK241" i="2"/>
  <c r="AL241" i="2" s="1"/>
  <c r="AC241" i="2"/>
  <c r="AA241" i="2"/>
  <c r="AK240" i="2"/>
  <c r="AL240" i="2" s="1"/>
  <c r="AC240" i="2"/>
  <c r="AK239" i="2"/>
  <c r="AL239" i="2" s="1"/>
  <c r="AC239" i="2"/>
  <c r="AK238" i="2"/>
  <c r="AL238" i="2" s="1"/>
  <c r="AC238" i="2"/>
  <c r="AC237" i="2"/>
  <c r="AA237" i="2"/>
  <c r="AK236" i="2"/>
  <c r="AL236" i="2" s="1"/>
  <c r="AC236" i="2"/>
  <c r="AK235" i="2"/>
  <c r="AL235" i="2" s="1"/>
  <c r="AC235" i="2"/>
  <c r="AC234" i="2"/>
  <c r="AK234" i="2" s="1"/>
  <c r="AL234" i="2" s="1"/>
  <c r="AK233" i="2"/>
  <c r="AL233" i="2" s="1"/>
  <c r="AC233" i="2"/>
  <c r="AA233" i="2"/>
  <c r="AE232" i="2"/>
  <c r="AK232" i="2" s="1"/>
  <c r="AL232" i="2" s="1"/>
  <c r="AC232" i="2"/>
  <c r="AC231" i="2"/>
  <c r="AK231" i="2" s="1"/>
  <c r="AL231" i="2" s="1"/>
  <c r="AL230" i="2"/>
  <c r="AK230" i="2"/>
  <c r="AC230" i="2"/>
  <c r="AC229" i="2"/>
  <c r="AA229" i="2"/>
  <c r="AK229" i="2" s="1"/>
  <c r="AL229" i="2" s="1"/>
  <c r="AE228" i="2"/>
  <c r="AK228" i="2" s="1"/>
  <c r="AL228" i="2" s="1"/>
  <c r="AC228" i="2"/>
  <c r="AK227" i="2"/>
  <c r="AL227" i="2" s="1"/>
  <c r="AC227" i="2"/>
  <c r="AK226" i="2"/>
  <c r="AL226" i="2" s="1"/>
  <c r="AC225" i="2"/>
  <c r="AK225" i="2" s="1"/>
  <c r="AL225" i="2" s="1"/>
  <c r="AC224" i="2"/>
  <c r="AK224" i="2" s="1"/>
  <c r="AL224" i="2" s="1"/>
  <c r="X224" i="2"/>
  <c r="AL223" i="2"/>
  <c r="AK223" i="2"/>
  <c r="AC223" i="2"/>
  <c r="AC222" i="2"/>
  <c r="AK222" i="2" s="1"/>
  <c r="AL222" i="2" s="1"/>
  <c r="AC221" i="2"/>
  <c r="AK221" i="2" s="1"/>
  <c r="AL221" i="2" s="1"/>
  <c r="AC220" i="2"/>
  <c r="AK220" i="2" s="1"/>
  <c r="AL220" i="2" s="1"/>
  <c r="AA220" i="2"/>
  <c r="AE219" i="2"/>
  <c r="AK219" i="2" s="1"/>
  <c r="AL219" i="2" s="1"/>
  <c r="AC219" i="2"/>
  <c r="AK218" i="2"/>
  <c r="AL218" i="2" s="1"/>
  <c r="AC218" i="2"/>
  <c r="AK217" i="2"/>
  <c r="AL217" i="2" s="1"/>
  <c r="AC217" i="2"/>
  <c r="AC216" i="2"/>
  <c r="AA216" i="2"/>
  <c r="AK215" i="2"/>
  <c r="AL215" i="2" s="1"/>
  <c r="AC215" i="2"/>
  <c r="AA215" i="2"/>
  <c r="AC214" i="2"/>
  <c r="AK214" i="2" s="1"/>
  <c r="AL214" i="2" s="1"/>
  <c r="AK213" i="2"/>
  <c r="AL213" i="2" s="1"/>
  <c r="AC213" i="2"/>
  <c r="AC212" i="2"/>
  <c r="AK212" i="2" s="1"/>
  <c r="AL212" i="2" s="1"/>
  <c r="AC211" i="2"/>
  <c r="AA211" i="2"/>
  <c r="AK211" i="2" s="1"/>
  <c r="AL211" i="2" s="1"/>
  <c r="AK210" i="2"/>
  <c r="AL210" i="2" s="1"/>
  <c r="AC210" i="2"/>
  <c r="AC209" i="2"/>
  <c r="AK209" i="2" s="1"/>
  <c r="AL209" i="2" s="1"/>
  <c r="AC208" i="2"/>
  <c r="AK208" i="2" s="1"/>
  <c r="AL208" i="2" s="1"/>
  <c r="AL207" i="2"/>
  <c r="AC207" i="2"/>
  <c r="AK207" i="2" s="1"/>
  <c r="AL206" i="2"/>
  <c r="AK206" i="2"/>
  <c r="AC206" i="2"/>
  <c r="AE205" i="2"/>
  <c r="AK205" i="2" s="1"/>
  <c r="AL205" i="2" s="1"/>
  <c r="AC205" i="2"/>
  <c r="AA205" i="2"/>
  <c r="AC204" i="2"/>
  <c r="AK204" i="2" s="1"/>
  <c r="AL204" i="2" s="1"/>
  <c r="AE203" i="2"/>
  <c r="AC203" i="2"/>
  <c r="AA203" i="2"/>
  <c r="AK203" i="2" s="1"/>
  <c r="AL203" i="2" s="1"/>
  <c r="AL202" i="2"/>
  <c r="AK202" i="2"/>
  <c r="AC202" i="2"/>
  <c r="AC201" i="2"/>
  <c r="AK201" i="2" s="1"/>
  <c r="AL201" i="2" s="1"/>
  <c r="AC200" i="2"/>
  <c r="AK200" i="2" s="1"/>
  <c r="AL200" i="2" s="1"/>
  <c r="AC199" i="2"/>
  <c r="AA199" i="2"/>
  <c r="X199" i="2"/>
  <c r="AK198" i="2"/>
  <c r="AL198" i="2" s="1"/>
  <c r="AC198" i="2"/>
  <c r="AK197" i="2"/>
  <c r="AL197" i="2" s="1"/>
  <c r="AC197" i="2"/>
  <c r="AK196" i="2"/>
  <c r="AL196" i="2" s="1"/>
  <c r="AC196" i="2"/>
  <c r="AK195" i="2"/>
  <c r="AL195" i="2" s="1"/>
  <c r="AE195" i="2"/>
  <c r="AC195" i="2"/>
  <c r="AA195" i="2"/>
  <c r="AK194" i="2"/>
  <c r="AL194" i="2" s="1"/>
  <c r="AC194" i="2"/>
  <c r="AE193" i="2"/>
  <c r="AC193" i="2"/>
  <c r="AA193" i="2"/>
  <c r="AL192" i="2"/>
  <c r="AK192" i="2"/>
  <c r="AC192" i="2"/>
  <c r="AE191" i="2"/>
  <c r="AK191" i="2" s="1"/>
  <c r="AL191" i="2" s="1"/>
  <c r="AC191" i="2"/>
  <c r="AC190" i="2"/>
  <c r="AK190" i="2" s="1"/>
  <c r="AL190" i="2" s="1"/>
  <c r="AK189" i="2"/>
  <c r="AL189" i="2" s="1"/>
  <c r="AE189" i="2"/>
  <c r="AC189" i="2"/>
  <c r="AA189" i="2"/>
  <c r="AE188" i="2"/>
  <c r="AC188" i="2"/>
  <c r="AE187" i="2"/>
  <c r="AK187" i="2" s="1"/>
  <c r="AL187" i="2" s="1"/>
  <c r="AC187" i="2"/>
  <c r="X187" i="2"/>
  <c r="AL186" i="2"/>
  <c r="AK186" i="2"/>
  <c r="AC186" i="2"/>
  <c r="AC185" i="2"/>
  <c r="AK185" i="2" s="1"/>
  <c r="AL185" i="2" s="1"/>
  <c r="AC184" i="2"/>
  <c r="AK184" i="2" s="1"/>
  <c r="AL184" i="2" s="1"/>
  <c r="AE183" i="2"/>
  <c r="AC183" i="2"/>
  <c r="AA183" i="2"/>
  <c r="AK183" i="2" s="1"/>
  <c r="AL183" i="2" s="1"/>
  <c r="AK182" i="2"/>
  <c r="AL182" i="2" s="1"/>
  <c r="AC182" i="2"/>
  <c r="AK181" i="2"/>
  <c r="AL181" i="2" s="1"/>
  <c r="AC181" i="2"/>
  <c r="X181" i="2"/>
  <c r="AL180" i="2"/>
  <c r="AC180" i="2"/>
  <c r="AK180" i="2" s="1"/>
  <c r="AK179" i="2"/>
  <c r="AL179" i="2" s="1"/>
  <c r="AC179" i="2"/>
  <c r="AK178" i="2"/>
  <c r="AL178" i="2" s="1"/>
  <c r="AE178" i="2"/>
  <c r="AC178" i="2"/>
  <c r="AL177" i="2"/>
  <c r="AC177" i="2"/>
  <c r="AK177" i="2" s="1"/>
  <c r="AE176" i="2"/>
  <c r="AK176" i="2" s="1"/>
  <c r="AL176" i="2" s="1"/>
  <c r="AC176" i="2"/>
  <c r="AE175" i="2"/>
  <c r="AC175" i="2"/>
  <c r="AA175" i="2"/>
  <c r="X175" i="2"/>
  <c r="AK175" i="2" s="1"/>
  <c r="AL175" i="2" s="1"/>
  <c r="AC174" i="2"/>
  <c r="AK174" i="2" s="1"/>
  <c r="AL174" i="2" s="1"/>
  <c r="AC173" i="2"/>
  <c r="AK173" i="2" s="1"/>
  <c r="AL173" i="2" s="1"/>
  <c r="AK172" i="2"/>
  <c r="AL172" i="2" s="1"/>
  <c r="AC172" i="2"/>
  <c r="AE171" i="2"/>
  <c r="AC171" i="2"/>
  <c r="AK171" i="2" s="1"/>
  <c r="AL171" i="2" s="1"/>
  <c r="AC170" i="2"/>
  <c r="AK170" i="2" s="1"/>
  <c r="AL170" i="2" s="1"/>
  <c r="AL169" i="2"/>
  <c r="AK169" i="2"/>
  <c r="AC169" i="2"/>
  <c r="AC168" i="2"/>
  <c r="AK168" i="2" s="1"/>
  <c r="AL168" i="2" s="1"/>
  <c r="AE167" i="2"/>
  <c r="AC167" i="2"/>
  <c r="AA167" i="2"/>
  <c r="AK167" i="2" s="1"/>
  <c r="AL167" i="2" s="1"/>
  <c r="AL166" i="2"/>
  <c r="AC166" i="2"/>
  <c r="AK166" i="2" s="1"/>
  <c r="AK165" i="2"/>
  <c r="AL165" i="2" s="1"/>
  <c r="AC165" i="2"/>
  <c r="AK164" i="2"/>
  <c r="AL164" i="2" s="1"/>
  <c r="AC164" i="2"/>
  <c r="AK163" i="2"/>
  <c r="AL163" i="2" s="1"/>
  <c r="AE163" i="2"/>
  <c r="AC163" i="2"/>
  <c r="AA163" i="2"/>
  <c r="AE162" i="2"/>
  <c r="AC162" i="2"/>
  <c r="AA162" i="2"/>
  <c r="AK162" i="2" s="1"/>
  <c r="AL162" i="2" s="1"/>
  <c r="AL161" i="2"/>
  <c r="AK161" i="2"/>
  <c r="AE161" i="2"/>
  <c r="AC161" i="2"/>
  <c r="AK160" i="2"/>
  <c r="AL160" i="2" s="1"/>
  <c r="AC160" i="2"/>
  <c r="AK159" i="2"/>
  <c r="AL159" i="2" s="1"/>
  <c r="AC159" i="2"/>
  <c r="AK158" i="2"/>
  <c r="AL158" i="2" s="1"/>
  <c r="AC158" i="2"/>
  <c r="AK157" i="2"/>
  <c r="AL157" i="2" s="1"/>
  <c r="AC157" i="2"/>
  <c r="AK156" i="2"/>
  <c r="AL156" i="2" s="1"/>
  <c r="AE156" i="2"/>
  <c r="AC156" i="2"/>
  <c r="AA156" i="2"/>
  <c r="AE155" i="2"/>
  <c r="AC155" i="2"/>
  <c r="AA155" i="2"/>
  <c r="AC154" i="2"/>
  <c r="AK154" i="2" s="1"/>
  <c r="AL154" i="2" s="1"/>
  <c r="AC153" i="2"/>
  <c r="AK153" i="2" s="1"/>
  <c r="AL153" i="2" s="1"/>
  <c r="AK152" i="2"/>
  <c r="AL152" i="2" s="1"/>
  <c r="AC152" i="2"/>
  <c r="AK151" i="2"/>
  <c r="AL151" i="2" s="1"/>
  <c r="AE151" i="2"/>
  <c r="AC151" i="2"/>
  <c r="AE150" i="2"/>
  <c r="AK150" i="2" s="1"/>
  <c r="AL150" i="2" s="1"/>
  <c r="AC150" i="2"/>
  <c r="AK149" i="2"/>
  <c r="AL149" i="2" s="1"/>
  <c r="AC149" i="2"/>
  <c r="AA149" i="2"/>
  <c r="AE148" i="2"/>
  <c r="AK148" i="2" s="1"/>
  <c r="AL148" i="2" s="1"/>
  <c r="AC148" i="2"/>
  <c r="AA148" i="2"/>
  <c r="AE147" i="2"/>
  <c r="AK147" i="2" s="1"/>
  <c r="AL147" i="2" s="1"/>
  <c r="AC147" i="2"/>
  <c r="AA147" i="2"/>
  <c r="AC146" i="2"/>
  <c r="AK146" i="2" s="1"/>
  <c r="AL146" i="2" s="1"/>
  <c r="AL145" i="2"/>
  <c r="AK145" i="2"/>
  <c r="AC145" i="2"/>
  <c r="AC144" i="2"/>
  <c r="AK144" i="2" s="1"/>
  <c r="AL144" i="2" s="1"/>
  <c r="AC143" i="2"/>
  <c r="AK143" i="2" s="1"/>
  <c r="AL143" i="2" s="1"/>
  <c r="AC142" i="2"/>
  <c r="AK142" i="2" s="1"/>
  <c r="AL142" i="2" s="1"/>
  <c r="AC141" i="2"/>
  <c r="AK141" i="2" s="1"/>
  <c r="AL141" i="2" s="1"/>
  <c r="AL140" i="2"/>
  <c r="AK140" i="2"/>
  <c r="AC140" i="2"/>
  <c r="AC139" i="2"/>
  <c r="AK139" i="2" s="1"/>
  <c r="AL139" i="2" s="1"/>
  <c r="AL138" i="2"/>
  <c r="AC138" i="2"/>
  <c r="AA138" i="2"/>
  <c r="AK138" i="2" s="1"/>
  <c r="AC137" i="2"/>
  <c r="AK137" i="2" s="1"/>
  <c r="AL137" i="2" s="1"/>
  <c r="AA137" i="2"/>
  <c r="AK136" i="2"/>
  <c r="AL136" i="2" s="1"/>
  <c r="AC136" i="2"/>
  <c r="AA136" i="2"/>
  <c r="AE135" i="2"/>
  <c r="AC135" i="2"/>
  <c r="AA135" i="2"/>
  <c r="AK135" i="2" s="1"/>
  <c r="AL135" i="2" s="1"/>
  <c r="AK134" i="2"/>
  <c r="AL134" i="2" s="1"/>
  <c r="AE134" i="2"/>
  <c r="AC134" i="2"/>
  <c r="AA134" i="2"/>
  <c r="AC133" i="2"/>
  <c r="AK133" i="2" s="1"/>
  <c r="AL133" i="2" s="1"/>
  <c r="AK132" i="2"/>
  <c r="AL132" i="2" s="1"/>
  <c r="AC132" i="2"/>
  <c r="AK131" i="2"/>
  <c r="AL131" i="2" s="1"/>
  <c r="AC131" i="2"/>
  <c r="AC130" i="2"/>
  <c r="AK130" i="2" s="1"/>
  <c r="AL130" i="2" s="1"/>
  <c r="AC129" i="2"/>
  <c r="AK129" i="2" s="1"/>
  <c r="AL129" i="2" s="1"/>
  <c r="AA129" i="2"/>
  <c r="X129" i="2"/>
  <c r="AL128" i="2"/>
  <c r="AK128" i="2"/>
  <c r="AC128" i="2"/>
  <c r="AC127" i="2"/>
  <c r="AA127" i="2"/>
  <c r="AK127" i="2" s="1"/>
  <c r="AL127" i="2" s="1"/>
  <c r="AK126" i="2"/>
  <c r="AL126" i="2" s="1"/>
  <c r="AC126" i="2"/>
  <c r="AK125" i="2"/>
  <c r="AL125" i="2" s="1"/>
  <c r="AC125" i="2"/>
  <c r="AK124" i="2"/>
  <c r="AL124" i="2" s="1"/>
  <c r="AE124" i="2"/>
  <c r="AC124" i="2"/>
  <c r="AL123" i="2"/>
  <c r="AK123" i="2"/>
  <c r="AC123" i="2"/>
  <c r="AL122" i="2"/>
  <c r="AK122" i="2"/>
  <c r="AC122" i="2"/>
  <c r="AC121" i="2"/>
  <c r="AK121" i="2" s="1"/>
  <c r="AL121" i="2" s="1"/>
  <c r="AC120" i="2"/>
  <c r="AK120" i="2" s="1"/>
  <c r="AL120" i="2" s="1"/>
  <c r="AE119" i="2"/>
  <c r="AK119" i="2" s="1"/>
  <c r="AL119" i="2" s="1"/>
  <c r="AC119" i="2"/>
  <c r="AK118" i="2"/>
  <c r="AL118" i="2" s="1"/>
  <c r="AE118" i="2"/>
  <c r="AC118" i="2"/>
  <c r="AE117" i="2"/>
  <c r="AC117" i="2"/>
  <c r="AK117" i="2" s="1"/>
  <c r="AL117" i="2" s="1"/>
  <c r="AC116" i="2"/>
  <c r="AK116" i="2" s="1"/>
  <c r="AL116" i="2" s="1"/>
  <c r="AC115" i="2"/>
  <c r="AK115" i="2" s="1"/>
  <c r="AL115" i="2" s="1"/>
  <c r="AC114" i="2"/>
  <c r="AK114" i="2" s="1"/>
  <c r="AL114" i="2" s="1"/>
  <c r="AL113" i="2"/>
  <c r="AK113" i="2"/>
  <c r="AC113" i="2"/>
  <c r="AC112" i="2"/>
  <c r="AK112" i="2" s="1"/>
  <c r="AL112" i="2" s="1"/>
  <c r="AC111" i="2"/>
  <c r="AK111" i="2" s="1"/>
  <c r="AL111" i="2" s="1"/>
  <c r="AE110" i="2"/>
  <c r="AC110" i="2"/>
  <c r="AA110" i="2"/>
  <c r="AK110" i="2" s="1"/>
  <c r="AL110" i="2" s="1"/>
  <c r="AC109" i="2"/>
  <c r="AK109" i="2" s="1"/>
  <c r="AL109" i="2" s="1"/>
  <c r="AC108" i="2"/>
  <c r="AK108" i="2" s="1"/>
  <c r="AL108" i="2" s="1"/>
  <c r="AC107" i="2"/>
  <c r="AA107" i="2"/>
  <c r="AK107" i="2" s="1"/>
  <c r="AL107" i="2" s="1"/>
  <c r="AK106" i="2"/>
  <c r="AL106" i="2" s="1"/>
  <c r="AC106" i="2"/>
  <c r="AK105" i="2"/>
  <c r="AL105" i="2" s="1"/>
  <c r="AC105" i="2"/>
  <c r="AE104" i="2"/>
  <c r="AC104" i="2"/>
  <c r="AA104" i="2"/>
  <c r="AK104" i="2" s="1"/>
  <c r="AL104" i="2" s="1"/>
  <c r="AC103" i="2"/>
  <c r="AK103" i="2" s="1"/>
  <c r="AL103" i="2" s="1"/>
  <c r="AK102" i="2"/>
  <c r="AL102" i="2" s="1"/>
  <c r="AC102" i="2"/>
  <c r="AC101" i="2"/>
  <c r="AK101" i="2" s="1"/>
  <c r="AL101" i="2" s="1"/>
  <c r="AC100" i="2"/>
  <c r="AK100" i="2" s="1"/>
  <c r="AL100" i="2" s="1"/>
  <c r="AE99" i="2"/>
  <c r="AK99" i="2" s="1"/>
  <c r="AL99" i="2" s="1"/>
  <c r="AC99" i="2"/>
  <c r="AA99" i="2"/>
  <c r="AK98" i="2"/>
  <c r="AL98" i="2" s="1"/>
  <c r="AE98" i="2"/>
  <c r="AC98" i="2"/>
  <c r="AE97" i="2"/>
  <c r="AC97" i="2"/>
  <c r="AA97" i="2"/>
  <c r="AK97" i="2" s="1"/>
  <c r="AL97" i="2" s="1"/>
  <c r="AL96" i="2"/>
  <c r="AC96" i="2"/>
  <c r="AK96" i="2" s="1"/>
  <c r="AK95" i="2"/>
  <c r="AL95" i="2" s="1"/>
  <c r="AC95" i="2"/>
  <c r="AK94" i="2"/>
  <c r="AL94" i="2" s="1"/>
  <c r="AE94" i="2"/>
  <c r="AC94" i="2"/>
  <c r="AA94" i="2"/>
  <c r="AK93" i="2"/>
  <c r="AL93" i="2" s="1"/>
  <c r="AC93" i="2"/>
  <c r="AE92" i="2"/>
  <c r="AK92" i="2" s="1"/>
  <c r="AL92" i="2" s="1"/>
  <c r="AC92" i="2"/>
  <c r="AC91" i="2"/>
  <c r="AK91" i="2" s="1"/>
  <c r="AL91" i="2" s="1"/>
  <c r="AC90" i="2"/>
  <c r="AK90" i="2" s="1"/>
  <c r="AL90" i="2" s="1"/>
  <c r="AE89" i="2"/>
  <c r="AK89" i="2" s="1"/>
  <c r="AL89" i="2" s="1"/>
  <c r="AC89" i="2"/>
  <c r="AK88" i="2"/>
  <c r="AL88" i="2" s="1"/>
  <c r="AE88" i="2"/>
  <c r="AC88" i="2"/>
  <c r="AA88" i="2"/>
  <c r="AC87" i="2"/>
  <c r="AK87" i="2" s="1"/>
  <c r="AL87" i="2" s="1"/>
  <c r="AC86" i="2"/>
  <c r="AK86" i="2" s="1"/>
  <c r="AL86" i="2" s="1"/>
  <c r="AK85" i="2"/>
  <c r="AL85" i="2" s="1"/>
  <c r="AC85" i="2"/>
  <c r="AA85" i="2"/>
  <c r="AC84" i="2"/>
  <c r="X84" i="2"/>
  <c r="AK84" i="2" s="1"/>
  <c r="AL84" i="2" s="1"/>
  <c r="AC83" i="2"/>
  <c r="AK83" i="2" s="1"/>
  <c r="AL83" i="2" s="1"/>
  <c r="AC82" i="2"/>
  <c r="AK82" i="2" s="1"/>
  <c r="AL82" i="2" s="1"/>
  <c r="AL81" i="2"/>
  <c r="AK81" i="2"/>
  <c r="AC81" i="2"/>
  <c r="AC80" i="2"/>
  <c r="AK80" i="2" s="1"/>
  <c r="AL80" i="2" s="1"/>
  <c r="AL79" i="2"/>
  <c r="AK79" i="2"/>
  <c r="AC79" i="2"/>
  <c r="AC78" i="2"/>
  <c r="AK78" i="2" s="1"/>
  <c r="AL78" i="2" s="1"/>
  <c r="AE77" i="2"/>
  <c r="AC77" i="2"/>
  <c r="AA77" i="2"/>
  <c r="AK77" i="2" s="1"/>
  <c r="AL77" i="2" s="1"/>
  <c r="AL76" i="2"/>
  <c r="AC76" i="2"/>
  <c r="AK76" i="2" s="1"/>
  <c r="AK75" i="2"/>
  <c r="AL75" i="2" s="1"/>
  <c r="AC75" i="2"/>
  <c r="AA75" i="2"/>
  <c r="AC74" i="2"/>
  <c r="AK74" i="2" s="1"/>
  <c r="AL74" i="2" s="1"/>
  <c r="AL73" i="2"/>
  <c r="AC73" i="2"/>
  <c r="AK73" i="2" s="1"/>
  <c r="AK72" i="2"/>
  <c r="AL72" i="2" s="1"/>
  <c r="AC72" i="2"/>
  <c r="AC71" i="2"/>
  <c r="AA71" i="2"/>
  <c r="AK71" i="2" s="1"/>
  <c r="AL71" i="2" s="1"/>
  <c r="AC70" i="2"/>
  <c r="AK70" i="2" s="1"/>
  <c r="AL70" i="2" s="1"/>
  <c r="AC69" i="2"/>
  <c r="AK69" i="2" s="1"/>
  <c r="AL69" i="2" s="1"/>
  <c r="AL68" i="2"/>
  <c r="AK68" i="2"/>
  <c r="AC68" i="2"/>
  <c r="AL67" i="2"/>
  <c r="AK67" i="2"/>
  <c r="AC67" i="2"/>
  <c r="AC66" i="2"/>
  <c r="AA66" i="2"/>
  <c r="X66" i="2"/>
  <c r="AK66" i="2" s="1"/>
  <c r="AL66" i="2" s="1"/>
  <c r="AL65" i="2"/>
  <c r="AK65" i="2"/>
  <c r="AC65" i="2"/>
  <c r="AL64" i="2"/>
  <c r="AC64" i="2"/>
  <c r="AK64" i="2" s="1"/>
  <c r="AK63" i="2"/>
  <c r="AL63" i="2" s="1"/>
  <c r="AC63" i="2"/>
  <c r="AK62" i="2"/>
  <c r="AL62" i="2" s="1"/>
  <c r="AC62" i="2"/>
  <c r="AK61" i="2"/>
  <c r="AL61" i="2" s="1"/>
  <c r="AC61" i="2"/>
  <c r="AK60" i="2"/>
  <c r="AL60" i="2" s="1"/>
  <c r="AC60" i="2"/>
  <c r="AA60" i="2"/>
  <c r="AC59" i="2"/>
  <c r="AK59" i="2" s="1"/>
  <c r="AL59" i="2" s="1"/>
  <c r="AL58" i="2"/>
  <c r="AK58" i="2"/>
  <c r="AC58" i="2"/>
  <c r="AC57" i="2"/>
  <c r="AK57" i="2" s="1"/>
  <c r="AL57" i="2" s="1"/>
  <c r="AC56" i="2"/>
  <c r="AK56" i="2" s="1"/>
  <c r="AL56" i="2" s="1"/>
  <c r="AE55" i="2"/>
  <c r="AC55" i="2"/>
  <c r="AA55" i="2"/>
  <c r="AK55" i="2" s="1"/>
  <c r="AL55" i="2" s="1"/>
  <c r="AC54" i="2"/>
  <c r="AK54" i="2" s="1"/>
  <c r="AL54" i="2" s="1"/>
  <c r="AC53" i="2"/>
  <c r="AK53" i="2" s="1"/>
  <c r="AL53" i="2" s="1"/>
  <c r="AL52" i="2"/>
  <c r="AK52" i="2"/>
  <c r="AC52" i="2"/>
  <c r="AE51" i="2"/>
  <c r="AK51" i="2" s="1"/>
  <c r="AL51" i="2" s="1"/>
  <c r="AC51" i="2"/>
  <c r="AA51" i="2"/>
  <c r="AE50" i="2"/>
  <c r="AC50" i="2"/>
  <c r="AK50" i="2" s="1"/>
  <c r="AL50" i="2" s="1"/>
  <c r="AA50" i="2"/>
  <c r="AK49" i="2"/>
  <c r="AL49" i="2" s="1"/>
  <c r="AC49" i="2"/>
  <c r="AC48" i="2"/>
  <c r="AA48" i="2"/>
  <c r="AK48" i="2" s="1"/>
  <c r="AL48" i="2" s="1"/>
  <c r="AL47" i="2"/>
  <c r="AK47" i="2"/>
  <c r="AC47" i="2"/>
  <c r="AC46" i="2"/>
  <c r="AK46" i="2" s="1"/>
  <c r="AL46" i="2" s="1"/>
  <c r="AA46" i="2"/>
  <c r="AK45" i="2"/>
  <c r="AL45" i="2" s="1"/>
  <c r="AC45" i="2"/>
  <c r="AK44" i="2"/>
  <c r="AL44" i="2" s="1"/>
  <c r="AC44" i="2"/>
  <c r="AA44" i="2"/>
  <c r="AC43" i="2"/>
  <c r="AK43" i="2" s="1"/>
  <c r="AL43" i="2" s="1"/>
  <c r="AC42" i="2"/>
  <c r="AK42" i="2" s="1"/>
  <c r="AL42" i="2" s="1"/>
  <c r="AL41" i="2"/>
  <c r="AK41" i="2"/>
  <c r="AC41" i="2"/>
  <c r="AC40" i="2"/>
  <c r="AK40" i="2" s="1"/>
  <c r="AL40" i="2" s="1"/>
  <c r="AC39" i="2"/>
  <c r="AK39" i="2" s="1"/>
  <c r="AL39" i="2" s="1"/>
  <c r="AA39" i="2"/>
  <c r="AK38" i="2"/>
  <c r="AL38" i="2" s="1"/>
  <c r="AC38" i="2"/>
  <c r="AA38" i="2"/>
  <c r="AC37" i="2"/>
  <c r="AK37" i="2" s="1"/>
  <c r="AL37" i="2" s="1"/>
  <c r="AC36" i="2"/>
  <c r="AK36" i="2" s="1"/>
  <c r="AL36" i="2" s="1"/>
  <c r="AC35" i="2"/>
  <c r="AA35" i="2"/>
  <c r="AK35" i="2" s="1"/>
  <c r="AL35" i="2" s="1"/>
  <c r="AK34" i="2"/>
  <c r="AL34" i="2" s="1"/>
  <c r="AC34" i="2"/>
  <c r="AK33" i="2"/>
  <c r="AL33" i="2" s="1"/>
  <c r="AC33" i="2"/>
  <c r="AK32" i="2"/>
  <c r="AL32" i="2" s="1"/>
  <c r="AC32" i="2"/>
  <c r="AK31" i="2"/>
  <c r="AL31" i="2" s="1"/>
  <c r="AC31" i="2"/>
  <c r="AE30" i="2"/>
  <c r="AC30" i="2"/>
  <c r="AK30" i="2" s="1"/>
  <c r="AL30" i="2" s="1"/>
  <c r="AA30" i="2"/>
  <c r="AC29" i="2"/>
  <c r="AK29" i="2" s="1"/>
  <c r="AL29" i="2" s="1"/>
  <c r="AC28" i="2"/>
  <c r="AK28" i="2" s="1"/>
  <c r="AL28" i="2" s="1"/>
  <c r="AA28" i="2"/>
  <c r="AK27" i="2"/>
  <c r="AL27" i="2" s="1"/>
  <c r="AC27" i="2"/>
  <c r="AC26" i="2"/>
  <c r="AK26" i="2" s="1"/>
  <c r="AL26" i="2" s="1"/>
  <c r="AE25" i="2"/>
  <c r="AK25" i="2" s="1"/>
  <c r="AL25" i="2" s="1"/>
  <c r="AC25" i="2"/>
  <c r="AC24" i="2"/>
  <c r="AA24" i="2"/>
  <c r="AK24" i="2" s="1"/>
  <c r="AL24" i="2" s="1"/>
  <c r="AK23" i="2"/>
  <c r="AL23" i="2" s="1"/>
  <c r="AC23" i="2"/>
  <c r="AC22" i="2"/>
  <c r="AA22" i="2"/>
  <c r="AK22" i="2" s="1"/>
  <c r="AL22" i="2" s="1"/>
  <c r="AE21" i="2"/>
  <c r="AK21" i="2" s="1"/>
  <c r="AL21" i="2" s="1"/>
  <c r="AC21" i="2"/>
  <c r="AK20" i="2"/>
  <c r="AL20" i="2" s="1"/>
  <c r="AC20" i="2"/>
  <c r="AK19" i="2"/>
  <c r="AL19" i="2" s="1"/>
  <c r="AC19" i="2"/>
  <c r="AK18" i="2"/>
  <c r="AL18" i="2" s="1"/>
  <c r="AC18" i="2"/>
  <c r="AC17" i="2"/>
  <c r="AA17" i="2"/>
  <c r="X17" i="2"/>
  <c r="AK16" i="2"/>
  <c r="AL16" i="2" s="1"/>
  <c r="AC16" i="2"/>
  <c r="AK15" i="2"/>
  <c r="AL15" i="2" s="1"/>
  <c r="AC15" i="2"/>
  <c r="AK14" i="2"/>
  <c r="AL14" i="2" s="1"/>
  <c r="AC14" i="2"/>
  <c r="AK13" i="2"/>
  <c r="AL13" i="2" s="1"/>
  <c r="AC13" i="2"/>
  <c r="AC12" i="2"/>
  <c r="AA12" i="2"/>
  <c r="AK12" i="2" s="1"/>
  <c r="AL12" i="2" s="1"/>
  <c r="AC11" i="2"/>
  <c r="AK11" i="2" s="1"/>
  <c r="AL11" i="2" s="1"/>
  <c r="AC10" i="2"/>
  <c r="AK10" i="2" s="1"/>
  <c r="AL10" i="2" s="1"/>
  <c r="AA10" i="2"/>
  <c r="AK9" i="2"/>
  <c r="AL9" i="2" s="1"/>
  <c r="AC9" i="2"/>
  <c r="AK8" i="2"/>
  <c r="AL8" i="2" s="1"/>
  <c r="AC8" i="2"/>
  <c r="AA8" i="2"/>
  <c r="AC7" i="2"/>
  <c r="AK7" i="2" s="1"/>
  <c r="AL7" i="2" s="1"/>
  <c r="AC6" i="2"/>
  <c r="AK6" i="2" s="1"/>
  <c r="AL6" i="2" s="1"/>
  <c r="AL5" i="2"/>
  <c r="AK5" i="2"/>
  <c r="AC4" i="2"/>
  <c r="AA4" i="2"/>
  <c r="AA1341" i="2" s="1"/>
  <c r="AC3" i="2"/>
  <c r="AK3" i="2" s="1"/>
  <c r="AL3" i="2" s="1"/>
  <c r="AK2" i="2"/>
  <c r="AL2" i="2" s="1"/>
  <c r="AC2" i="2"/>
  <c r="AK297" i="2" l="1"/>
  <c r="AL297" i="2" s="1"/>
  <c r="AK216" i="2"/>
  <c r="AL216" i="2" s="1"/>
  <c r="AK425" i="2"/>
  <c r="AL425" i="2" s="1"/>
  <c r="AC1341" i="2"/>
  <c r="AK472" i="2"/>
  <c r="AL472" i="2" s="1"/>
  <c r="AK905" i="2"/>
  <c r="AL905" i="2" s="1"/>
  <c r="AK237" i="2"/>
  <c r="AL237" i="2" s="1"/>
  <c r="AK505" i="2"/>
  <c r="AL505" i="2" s="1"/>
  <c r="AK636" i="2"/>
  <c r="AL636" i="2" s="1"/>
  <c r="AK193" i="2"/>
  <c r="AL193" i="2" s="1"/>
  <c r="AK199" i="2"/>
  <c r="AL199" i="2" s="1"/>
  <c r="AK188" i="2"/>
  <c r="AL188" i="2" s="1"/>
  <c r="AK4" i="2"/>
  <c r="AL4" i="2" s="1"/>
  <c r="X1341" i="2"/>
  <c r="AK1341" i="2" s="1"/>
  <c r="AK532" i="2"/>
  <c r="AL532" i="2" s="1"/>
  <c r="AK155" i="2"/>
  <c r="AL155" i="2" s="1"/>
  <c r="AK483" i="2"/>
  <c r="AL483" i="2" s="1"/>
  <c r="AK547" i="2"/>
  <c r="AL547" i="2" s="1"/>
  <c r="AK17" i="2"/>
  <c r="AL17" i="2" s="1"/>
  <c r="AK267" i="2"/>
  <c r="AL267" i="2" s="1"/>
  <c r="AK430" i="2"/>
  <c r="AL430" i="2" s="1"/>
  <c r="AK888" i="2"/>
  <c r="AL888" i="2" s="1"/>
  <c r="AK461" i="2"/>
  <c r="AL461" i="2" s="1"/>
  <c r="AK255" i="2"/>
  <c r="AL255" i="2" s="1"/>
  <c r="AK1044" i="2"/>
  <c r="AL1044" i="2" s="1"/>
  <c r="AK996" i="2"/>
  <c r="AL996" i="2" s="1"/>
  <c r="AK1018" i="2"/>
  <c r="AL1018" i="2" s="1"/>
  <c r="AD1341" i="2"/>
  <c r="AE1095" i="2"/>
  <c r="AE1341" i="2" s="1"/>
  <c r="AL1341" i="2" l="1"/>
  <c r="AK1095" i="2"/>
  <c r="AL1095" i="2" s="1"/>
</calcChain>
</file>

<file path=xl/sharedStrings.xml><?xml version="1.0" encoding="utf-8"?>
<sst xmlns="http://schemas.openxmlformats.org/spreadsheetml/2006/main" count="1380" uniqueCount="1379">
  <si>
    <t>관리명</t>
    <phoneticPr fontId="3" type="noConversion"/>
  </si>
  <si>
    <t>전일재고</t>
    <phoneticPr fontId="3" type="noConversion"/>
  </si>
  <si>
    <t>파손</t>
  </si>
  <si>
    <t>반품(B2C)</t>
    <phoneticPr fontId="3" type="noConversion"/>
  </si>
  <si>
    <t>폐기(-)</t>
    <phoneticPr fontId="3" type="noConversion"/>
  </si>
  <si>
    <t>제트회송(+)</t>
    <phoneticPr fontId="3" type="noConversion"/>
  </si>
  <si>
    <t>반품(밀크런)</t>
    <phoneticPr fontId="3" type="noConversion"/>
  </si>
  <si>
    <t>화물(퀵)</t>
    <phoneticPr fontId="3" type="noConversion"/>
  </si>
  <si>
    <t>비품(-)</t>
    <phoneticPr fontId="3" type="noConversion"/>
  </si>
  <si>
    <t>화재(+)</t>
    <phoneticPr fontId="3" type="noConversion"/>
  </si>
  <si>
    <t>화재(-)</t>
    <phoneticPr fontId="3" type="noConversion"/>
  </si>
  <si>
    <t>입고</t>
    <phoneticPr fontId="3" type="noConversion"/>
  </si>
  <si>
    <t>양품화(+)</t>
    <phoneticPr fontId="3" type="noConversion"/>
  </si>
  <si>
    <t>제트이관(-)</t>
    <phoneticPr fontId="3" type="noConversion"/>
  </si>
  <si>
    <t>제트이관작업취소(+)</t>
    <phoneticPr fontId="3" type="noConversion"/>
  </si>
  <si>
    <t>선교환(+)</t>
    <phoneticPr fontId="3" type="noConversion"/>
  </si>
  <si>
    <t>선교환(-)</t>
    <phoneticPr fontId="3" type="noConversion"/>
  </si>
  <si>
    <t>쿠팡(밀크런)</t>
    <phoneticPr fontId="3" type="noConversion"/>
  </si>
  <si>
    <t>재고조정(+)</t>
    <phoneticPr fontId="3" type="noConversion"/>
  </si>
  <si>
    <t>재고조정(-)</t>
    <phoneticPr fontId="3" type="noConversion"/>
  </si>
  <si>
    <t>샘플(-)</t>
    <phoneticPr fontId="3" type="noConversion"/>
  </si>
  <si>
    <t>재포장입고(+)</t>
    <phoneticPr fontId="3" type="noConversion"/>
  </si>
  <si>
    <t>수출픽업(-)</t>
    <phoneticPr fontId="3" type="noConversion"/>
  </si>
  <si>
    <t>번들해체(+)</t>
    <phoneticPr fontId="3" type="noConversion"/>
  </si>
  <si>
    <t>번들해체(-)</t>
    <phoneticPr fontId="3" type="noConversion"/>
  </si>
  <si>
    <t>번들(+)</t>
    <phoneticPr fontId="3" type="noConversion"/>
  </si>
  <si>
    <t>번들(-)</t>
    <phoneticPr fontId="3" type="noConversion"/>
  </si>
  <si>
    <t>재포장(+)</t>
    <phoneticPr fontId="3" type="noConversion"/>
  </si>
  <si>
    <t>재포장(-)</t>
    <phoneticPr fontId="3" type="noConversion"/>
  </si>
  <si>
    <t>라벨작업(+)</t>
    <phoneticPr fontId="3" type="noConversion"/>
  </si>
  <si>
    <t>라벨작업(-)</t>
    <phoneticPr fontId="3" type="noConversion"/>
  </si>
  <si>
    <t>로켓그로스(택배)</t>
    <phoneticPr fontId="3" type="noConversion"/>
  </si>
  <si>
    <t>카페진열(+)</t>
  </si>
  <si>
    <t>카페진열(-)</t>
  </si>
  <si>
    <t>출고취소</t>
    <phoneticPr fontId="3" type="noConversion"/>
  </si>
  <si>
    <t>택배</t>
    <phoneticPr fontId="3" type="noConversion"/>
  </si>
  <si>
    <t>총합계</t>
    <phoneticPr fontId="3" type="noConversion"/>
  </si>
  <si>
    <t>마감재고</t>
    <phoneticPr fontId="3" type="noConversion"/>
  </si>
  <si>
    <t>비고</t>
    <phoneticPr fontId="3" type="noConversion"/>
  </si>
  <si>
    <t>[Z]리빙귀지킬러</t>
    <phoneticPr fontId="3" type="noConversion"/>
  </si>
  <si>
    <t>[Z]리빙귀지킬러(2S)</t>
    <phoneticPr fontId="3" type="noConversion"/>
  </si>
  <si>
    <t>리빙말랑귀지킬러</t>
    <phoneticPr fontId="3" type="noConversion"/>
  </si>
  <si>
    <t>리빙말랑귀지킬러(2B)</t>
    <phoneticPr fontId="3" type="noConversion"/>
  </si>
  <si>
    <t>리빙귀지킬러</t>
    <phoneticPr fontId="3" type="noConversion"/>
  </si>
  <si>
    <t>리빙귀지킬러(2S)</t>
    <phoneticPr fontId="3" type="noConversion"/>
  </si>
  <si>
    <t>리빙다용도폴딩박스</t>
  </si>
  <si>
    <t>리빙다용도폴딩박스(2B)</t>
    <phoneticPr fontId="3" type="noConversion"/>
  </si>
  <si>
    <t>리빙더스트샷세탁조클리너</t>
  </si>
  <si>
    <t>리빙더스트샷세탁조클리너(2B)</t>
    <phoneticPr fontId="3" type="noConversion"/>
  </si>
  <si>
    <t>리빙블랙차크치약</t>
    <phoneticPr fontId="3" type="noConversion"/>
  </si>
  <si>
    <t>리빙블랙차크치약(5S)</t>
    <phoneticPr fontId="3" type="noConversion"/>
  </si>
  <si>
    <t>리빙블랙차크치약(10B)</t>
    <phoneticPr fontId="3" type="noConversion"/>
  </si>
  <si>
    <t>[Z]리빙블랙차크치약(5S)</t>
    <phoneticPr fontId="3" type="noConversion"/>
  </si>
  <si>
    <t>[Z]리빙블랙차크치약(10B)</t>
    <phoneticPr fontId="3" type="noConversion"/>
  </si>
  <si>
    <t>리빙블랙차크치약(4B)</t>
    <phoneticPr fontId="3" type="noConversion"/>
  </si>
  <si>
    <t>리빙블랙차크치약(8B)</t>
    <phoneticPr fontId="3" type="noConversion"/>
  </si>
  <si>
    <t>[Z]블랙차크덴탈케어</t>
    <phoneticPr fontId="3" type="noConversion"/>
  </si>
  <si>
    <t>[Z]리빙스퀴지샷브러쉬</t>
    <phoneticPr fontId="3" type="noConversion"/>
  </si>
  <si>
    <t>[Z]리빙스퀴지샷브러쉬(2B)</t>
    <phoneticPr fontId="3" type="noConversion"/>
  </si>
  <si>
    <t>리빙스퀴지샷브러쉬</t>
    <phoneticPr fontId="3" type="noConversion"/>
  </si>
  <si>
    <t>리빙스퀴지샷브러쉬(2B)</t>
    <phoneticPr fontId="3" type="noConversion"/>
  </si>
  <si>
    <t>리빙원터치다이어트줄자</t>
    <phoneticPr fontId="3" type="noConversion"/>
  </si>
  <si>
    <t>[Z]리빙원터치다이어트줄자</t>
  </si>
  <si>
    <t>[Z]리빙원터치다이어트줄자(2B)</t>
    <phoneticPr fontId="3" type="noConversion"/>
  </si>
  <si>
    <t>리빙원터치다이어트줄자(2B)</t>
    <phoneticPr fontId="3" type="noConversion"/>
  </si>
  <si>
    <t>리빙클리닝샷다목적세정제</t>
  </si>
  <si>
    <t>리빙클리닝샷다목적세정제(2B)</t>
    <phoneticPr fontId="3" type="noConversion"/>
  </si>
  <si>
    <t>[Z]리빙티파니글라스풋파일</t>
    <phoneticPr fontId="3" type="noConversion"/>
  </si>
  <si>
    <t>[Z]리빙티파니글라스풋파일(2B)</t>
    <phoneticPr fontId="3" type="noConversion"/>
  </si>
  <si>
    <t>리빙티파니글라스풋파일</t>
    <phoneticPr fontId="3" type="noConversion"/>
  </si>
  <si>
    <t>리빙티파니글라스풋파일(2B)</t>
    <phoneticPr fontId="3" type="noConversion"/>
  </si>
  <si>
    <t>[Z]더마리치풋케어세트</t>
    <phoneticPr fontId="3" type="noConversion"/>
  </si>
  <si>
    <t>리빙허리핏조절단추</t>
  </si>
  <si>
    <t>리빙허리핏조절단추(2B)</t>
    <phoneticPr fontId="3" type="noConversion"/>
  </si>
  <si>
    <t>[Z]리빙허리핏조절단추</t>
  </si>
  <si>
    <t>리빙화이트닝차크치약</t>
  </si>
  <si>
    <t>리빙화이트닝차크치약(5S)</t>
    <phoneticPr fontId="3" type="noConversion"/>
  </si>
  <si>
    <t>리빙화이트닝차크치약(10B)</t>
    <phoneticPr fontId="3" type="noConversion"/>
  </si>
  <si>
    <t>[Z]리빙화이트닝차크치약(5S)</t>
  </si>
  <si>
    <t>[Z]리빙화이트닝차크치약(10B)</t>
    <phoneticPr fontId="3" type="noConversion"/>
  </si>
  <si>
    <t>[Z]화이트차크덴탈케어</t>
  </si>
  <si>
    <t>리빙화이트샷아토표백제</t>
    <phoneticPr fontId="3" type="noConversion"/>
  </si>
  <si>
    <t>리빙화이트샷아토표백제(2B)</t>
    <phoneticPr fontId="3" type="noConversion"/>
  </si>
  <si>
    <t>모터물방울유리막코팅제</t>
    <phoneticPr fontId="3" type="noConversion"/>
  </si>
  <si>
    <t>모터물방울유리막코팅제(2B)</t>
    <phoneticPr fontId="3" type="noConversion"/>
  </si>
  <si>
    <t>무브마사지롤러마스터</t>
  </si>
  <si>
    <t>무브마사지롤러마스터(2B)</t>
    <phoneticPr fontId="3" type="noConversion"/>
  </si>
  <si>
    <t>[Z]무브마사지롤러마스터(2B)</t>
  </si>
  <si>
    <t>[Z]무브부스터슈트-M</t>
  </si>
  <si>
    <t>[Z]무브부스터슈트-M(2B)</t>
  </si>
  <si>
    <t>무브부스터슈트-M</t>
    <phoneticPr fontId="3" type="noConversion"/>
  </si>
  <si>
    <t>무브부스터슈트-M(2B)</t>
    <phoneticPr fontId="3" type="noConversion"/>
  </si>
  <si>
    <t>[Z]무브부스터슈트-XL</t>
  </si>
  <si>
    <t>[Z]무브부스터슈트-XL(2B)</t>
  </si>
  <si>
    <t>무브부스터슈트-XL</t>
    <phoneticPr fontId="3" type="noConversion"/>
  </si>
  <si>
    <t>무브부스터슈트-XL(2B)</t>
    <phoneticPr fontId="3" type="noConversion"/>
  </si>
  <si>
    <t>[Z]무브부스터슈트혼합세트</t>
  </si>
  <si>
    <t>무브코어스링</t>
  </si>
  <si>
    <t>무브코어스링(2B)</t>
    <phoneticPr fontId="3" type="noConversion"/>
  </si>
  <si>
    <t>무브텐션밴드</t>
  </si>
  <si>
    <t>[Z]무브텐션밴드(2B)</t>
  </si>
  <si>
    <t>[Z]더마안티폴루풋샴푸</t>
  </si>
  <si>
    <t>[Z]더마안티폴루풋샴푸(2S)</t>
    <phoneticPr fontId="3" type="noConversion"/>
  </si>
  <si>
    <t>더마안티폴루풋샴푸</t>
    <phoneticPr fontId="3" type="noConversion"/>
  </si>
  <si>
    <t>더마안티폴루풋샴푸(2S)</t>
    <phoneticPr fontId="3" type="noConversion"/>
  </si>
  <si>
    <t>[Z]더마리치풋클리닝세트</t>
  </si>
  <si>
    <t>[Z]더마리치리치풋크림</t>
  </si>
  <si>
    <t>[Z]더마리치리치풋크림(2S)</t>
  </si>
  <si>
    <t>더마리치리치풋크림</t>
    <phoneticPr fontId="3" type="noConversion"/>
  </si>
  <si>
    <t>더마리치리치풋크림(2S)</t>
    <phoneticPr fontId="3" type="noConversion"/>
  </si>
  <si>
    <t>[Z]더마시카필링젤</t>
    <phoneticPr fontId="3" type="noConversion"/>
  </si>
  <si>
    <t>[Z]더마시카필링젤(2S)</t>
    <phoneticPr fontId="3" type="noConversion"/>
  </si>
  <si>
    <t>더마시카필링젤</t>
    <phoneticPr fontId="3" type="noConversion"/>
  </si>
  <si>
    <t>더마시카필링젤(2S)</t>
    <phoneticPr fontId="3" type="noConversion"/>
  </si>
  <si>
    <t>[Z]더마리셋넥크림(4S)</t>
    <phoneticPr fontId="3" type="noConversion"/>
  </si>
  <si>
    <t>[Z]더마리셋넥크림(8B)</t>
  </si>
  <si>
    <t>더마리셋넥크림(4S)</t>
    <phoneticPr fontId="3" type="noConversion"/>
  </si>
  <si>
    <t>더마리셋넥크림(8B)</t>
    <phoneticPr fontId="3" type="noConversion"/>
  </si>
  <si>
    <t>[Z]리빙올인원실리콘테이프</t>
  </si>
  <si>
    <t>[Z]리빙올인원실리콘테이프(2B)</t>
  </si>
  <si>
    <t>[Z]리빙올인원실리콘테이프(4B)</t>
  </si>
  <si>
    <t>리빙올인원실리콘테이프</t>
    <phoneticPr fontId="3" type="noConversion"/>
  </si>
  <si>
    <t>리빙올인원실리콘테이프(2B)</t>
    <phoneticPr fontId="3" type="noConversion"/>
  </si>
  <si>
    <t>리빙올인원실리콘테이프(3B)</t>
    <phoneticPr fontId="3" type="noConversion"/>
  </si>
  <si>
    <t>리빙올인원실리콘테이프(4B)</t>
    <phoneticPr fontId="3" type="noConversion"/>
  </si>
  <si>
    <t>[Z]리빙안티폴루풋브러쉬</t>
    <phoneticPr fontId="3" type="noConversion"/>
  </si>
  <si>
    <t>[Z]리빙안티폴루풋브러쉬(2B)</t>
  </si>
  <si>
    <t>리빙안티폴루풋브러쉬</t>
    <phoneticPr fontId="3" type="noConversion"/>
  </si>
  <si>
    <t>리빙안티폴루풋브러쉬(2B)</t>
    <phoneticPr fontId="3" type="noConversion"/>
  </si>
  <si>
    <t>[Z]안티폴루풋케어세트</t>
  </si>
  <si>
    <t>안티폴루풋케어세트</t>
    <phoneticPr fontId="3" type="noConversion"/>
  </si>
  <si>
    <t>[Z]테일러헤어샴푸-500ml</t>
    <phoneticPr fontId="3" type="noConversion"/>
  </si>
  <si>
    <t>테일러헤어샴푸-500ml</t>
    <phoneticPr fontId="3" type="noConversion"/>
  </si>
  <si>
    <t>테일러헤어샴푸-500ml(2S)</t>
    <phoneticPr fontId="3" type="noConversion"/>
  </si>
  <si>
    <t>[Z]테일러헤어샴푸-1000ml</t>
    <phoneticPr fontId="3" type="noConversion"/>
  </si>
  <si>
    <t>[Z]테일러헤어샴푸-1000ml(2B)</t>
    <phoneticPr fontId="3" type="noConversion"/>
  </si>
  <si>
    <t>[Z]우드세이지앤씨솔트헤어샴푸-500ml</t>
    <phoneticPr fontId="3" type="noConversion"/>
  </si>
  <si>
    <t>테일러헤어샴푸-1000ml</t>
    <phoneticPr fontId="3" type="noConversion"/>
  </si>
  <si>
    <t>테일러헤어샴푸-1000ml(2B)</t>
    <phoneticPr fontId="3" type="noConversion"/>
  </si>
  <si>
    <t>우드세이지앤씨솔트헤어샴푸-500ml</t>
    <phoneticPr fontId="3" type="noConversion"/>
  </si>
  <si>
    <t>우드세이지앤씨솔트헤어샴푸-500ml(2S)</t>
    <phoneticPr fontId="3" type="noConversion"/>
  </si>
  <si>
    <t>[Z]우드세이지앤씨솔트헤어샴푸-1000ml</t>
    <phoneticPr fontId="3" type="noConversion"/>
  </si>
  <si>
    <t>우드세이지앤씨솔트헤어샴푸-1000ml</t>
    <phoneticPr fontId="3" type="noConversion"/>
  </si>
  <si>
    <t>우드세이지앤씨솔트헤어샴푸-1000ml(2S)</t>
    <phoneticPr fontId="3" type="noConversion"/>
  </si>
  <si>
    <t>[Z]테일러바디워시-500ml</t>
    <phoneticPr fontId="3" type="noConversion"/>
  </si>
  <si>
    <t>테일러바디워시-500ml</t>
    <phoneticPr fontId="3" type="noConversion"/>
  </si>
  <si>
    <t>테일러바디워시-500ml(2S)</t>
  </si>
  <si>
    <t>[Z]테일러바디워시-1000ml</t>
    <phoneticPr fontId="3" type="noConversion"/>
  </si>
  <si>
    <t>테일러바디워시-1000ml</t>
    <phoneticPr fontId="3" type="noConversion"/>
  </si>
  <si>
    <t>테일러바디워시-1000ml(2S)</t>
  </si>
  <si>
    <t>[Z]우드세이지앤씨솔트바디워시-500ml</t>
    <phoneticPr fontId="3" type="noConversion"/>
  </si>
  <si>
    <t>우드세이지앤씨솔트바디워시-500ml</t>
    <phoneticPr fontId="3" type="noConversion"/>
  </si>
  <si>
    <t>우드세이지앤씨솔트바디워시-1000ml</t>
    <phoneticPr fontId="3" type="noConversion"/>
  </si>
  <si>
    <t>우드세이지앤씨솔트바디워시-1000ml(2S)</t>
  </si>
  <si>
    <t>[Z]실버마운틴탈모헤어샴푸-500ml</t>
    <phoneticPr fontId="3" type="noConversion"/>
  </si>
  <si>
    <t>[Z]실버마운틴탈모헤어샴푸-500ml(2S)</t>
    <phoneticPr fontId="3" type="noConversion"/>
  </si>
  <si>
    <t>[Z]실버마운틴탈모헤어샴푸-1000ml</t>
    <phoneticPr fontId="3" type="noConversion"/>
  </si>
  <si>
    <t>실버마운틴탈모헤어샴푸-500ml</t>
    <phoneticPr fontId="3" type="noConversion"/>
  </si>
  <si>
    <t>실버마운틴탈모헤어샴푸-500ml(2S)</t>
    <phoneticPr fontId="3" type="noConversion"/>
  </si>
  <si>
    <t>실버마운틴탈모헤어샴푸-1000ml</t>
    <phoneticPr fontId="3" type="noConversion"/>
  </si>
  <si>
    <t>실버마운틴탈모헤어샴푸-1000ml(2S)</t>
  </si>
  <si>
    <t>[Z]실버마운틴탈모앰플-200ml</t>
    <phoneticPr fontId="3" type="noConversion"/>
  </si>
  <si>
    <t>실버마운틴탈모앰플-200ml</t>
    <phoneticPr fontId="3" type="noConversion"/>
  </si>
  <si>
    <t>[Z]실버마운틴탈모앰플-200ml(2S)</t>
  </si>
  <si>
    <t>리빙버블샷다목적클리너</t>
    <phoneticPr fontId="3" type="noConversion"/>
  </si>
  <si>
    <t>리빙버블샷다목적클리너(2B)</t>
    <phoneticPr fontId="3" type="noConversion"/>
  </si>
  <si>
    <t>리빙더티샷신발클리너</t>
    <phoneticPr fontId="3" type="noConversion"/>
  </si>
  <si>
    <t>리빙더티샷신발클리너(2B)</t>
    <phoneticPr fontId="3" type="noConversion"/>
  </si>
  <si>
    <t>[Z]코튼착시볼캡-블랙</t>
  </si>
  <si>
    <t>[Z]코튼착시볼캡-화이트</t>
  </si>
  <si>
    <t>[Z]코튼착시볼캡-베이지</t>
  </si>
  <si>
    <t>[Z]코튼착시볼캡-아이보리</t>
  </si>
  <si>
    <t>[Z]코튼착시볼캡-핑크</t>
  </si>
  <si>
    <t>코튼착시볼캡-블랙</t>
    <phoneticPr fontId="3" type="noConversion"/>
  </si>
  <si>
    <t>코튼착시볼캡-화이트</t>
    <phoneticPr fontId="3" type="noConversion"/>
  </si>
  <si>
    <t>코튼착시볼캡-베이지</t>
    <phoneticPr fontId="3" type="noConversion"/>
  </si>
  <si>
    <t>코튼착시볼캡-아이보리</t>
    <phoneticPr fontId="3" type="noConversion"/>
  </si>
  <si>
    <t>코튼착시볼캡-핑크</t>
    <phoneticPr fontId="3" type="noConversion"/>
  </si>
  <si>
    <t>코튼착시볼캡-블랙(2B)</t>
    <phoneticPr fontId="3" type="noConversion"/>
  </si>
  <si>
    <t>코튼착시볼캡-화이트(2B)</t>
    <phoneticPr fontId="3" type="noConversion"/>
  </si>
  <si>
    <t>코튼착시볼캡-베이지(2B)</t>
    <phoneticPr fontId="3" type="noConversion"/>
  </si>
  <si>
    <t>코튼착시볼캡-아이보리(2B)</t>
    <phoneticPr fontId="3" type="noConversion"/>
  </si>
  <si>
    <t>코튼착시볼캡-핑크(2B)</t>
    <phoneticPr fontId="3" type="noConversion"/>
  </si>
  <si>
    <t>[Z]코튼왕착시볼캡-블랙</t>
  </si>
  <si>
    <t>[Z]코튼왕착시볼캡-화이트</t>
  </si>
  <si>
    <t>[Z]코튼왕착시볼캡-아이보리</t>
  </si>
  <si>
    <t>코튼왕착시볼캡-블랙</t>
    <phoneticPr fontId="3" type="noConversion"/>
  </si>
  <si>
    <t>코튼왕착시볼캡-화이트</t>
    <phoneticPr fontId="3" type="noConversion"/>
  </si>
  <si>
    <t>코튼왕착시볼캡-아이보리</t>
    <phoneticPr fontId="3" type="noConversion"/>
  </si>
  <si>
    <t>코튼왕착시볼캡-블랙(2B)</t>
    <phoneticPr fontId="3" type="noConversion"/>
  </si>
  <si>
    <t>코튼왕착시볼캡-화이트(2B)</t>
    <phoneticPr fontId="3" type="noConversion"/>
  </si>
  <si>
    <t>코튼왕착시볼캡-아이보리(2B)</t>
    <phoneticPr fontId="3" type="noConversion"/>
  </si>
  <si>
    <t>[Z]코튼착시버킷햇-블랙</t>
  </si>
  <si>
    <t>[Z]코튼착시버킷햇-베이지</t>
  </si>
  <si>
    <t>코튼착시버킷햇-블랙</t>
    <phoneticPr fontId="3" type="noConversion"/>
  </si>
  <si>
    <t>코튼착시버킷햇-베이지</t>
    <phoneticPr fontId="3" type="noConversion"/>
  </si>
  <si>
    <t>코튼착시버킷햇-블랙(2B)</t>
    <phoneticPr fontId="3" type="noConversion"/>
  </si>
  <si>
    <t>코튼착시버킷햇-베이지(2B)</t>
    <phoneticPr fontId="3" type="noConversion"/>
  </si>
  <si>
    <t>[Z]코튼왕착시버킷햇-블랙</t>
  </si>
  <si>
    <t>[Z]코튼왕착시버킷햇-베이지</t>
  </si>
  <si>
    <t>코튼왕착시버킷햇-블랙</t>
    <phoneticPr fontId="3" type="noConversion"/>
  </si>
  <si>
    <t>코튼왕착시버킷햇-베이지</t>
    <phoneticPr fontId="3" type="noConversion"/>
  </si>
  <si>
    <t>코튼왕착시버킷햇-블랙(2B)</t>
    <phoneticPr fontId="3" type="noConversion"/>
  </si>
  <si>
    <t>코튼왕착시버킷햇-베이지(2B)</t>
    <phoneticPr fontId="3" type="noConversion"/>
  </si>
  <si>
    <t>[Z]리빙올스텐더블뒤집개</t>
  </si>
  <si>
    <t>[Z]리빙올스텐더블뒤집개(2B)</t>
  </si>
  <si>
    <t>리빙올스텐더블뒤집개</t>
    <phoneticPr fontId="3" type="noConversion"/>
  </si>
  <si>
    <t>리빙올스텐더블뒤집개(2B)</t>
    <phoneticPr fontId="3" type="noConversion"/>
  </si>
  <si>
    <t>[Z]더마워터트리트먼트리치앰플</t>
  </si>
  <si>
    <t>[Z]더마워터트리트먼트리치앰플(2B)</t>
  </si>
  <si>
    <t>더마워터트리트먼트리치앰플</t>
    <phoneticPr fontId="3" type="noConversion"/>
  </si>
  <si>
    <t>더마워터트리트먼트리치앰플(2B)</t>
    <phoneticPr fontId="3" type="noConversion"/>
  </si>
  <si>
    <t>[Z]리빙블랙차크칫솔</t>
  </si>
  <si>
    <t>[Z]리빙블랙차크칫솔(2B)</t>
  </si>
  <si>
    <t>[Z]리빙블랙차크칫솔(4B)</t>
    <phoneticPr fontId="3" type="noConversion"/>
  </si>
  <si>
    <t>리빙블랙차크칫솔</t>
    <phoneticPr fontId="3" type="noConversion"/>
  </si>
  <si>
    <t>리빙블랙차크칫솔(2B)</t>
    <phoneticPr fontId="3" type="noConversion"/>
  </si>
  <si>
    <t>리빙블랙차크칫솔(4B)</t>
    <phoneticPr fontId="3" type="noConversion"/>
  </si>
  <si>
    <t>[Z]더마포시즌립마스크팩</t>
    <phoneticPr fontId="3" type="noConversion"/>
  </si>
  <si>
    <t>[Z]더마포시즌립마스크팩(2B)</t>
  </si>
  <si>
    <t>[Z]무브손목보호대프로</t>
  </si>
  <si>
    <t>[Z]무브손목보호대프로(2B)</t>
  </si>
  <si>
    <t>무브손목보호대프로</t>
    <phoneticPr fontId="3" type="noConversion"/>
  </si>
  <si>
    <t>무브손목보호대프로(2B)</t>
    <phoneticPr fontId="3" type="noConversion"/>
  </si>
  <si>
    <t>[Z]무브팔꿈치보호대프로</t>
  </si>
  <si>
    <t>[Z]무브팔꿈치보호대프로(2B)</t>
  </si>
  <si>
    <t>무브팔꿈치보호대프로</t>
    <phoneticPr fontId="3" type="noConversion"/>
  </si>
  <si>
    <t>무브팔꿈치보호대프로(2B)</t>
    <phoneticPr fontId="3" type="noConversion"/>
  </si>
  <si>
    <t>[Z]무브무릎보호대프로</t>
  </si>
  <si>
    <t>[Z]무브무릎보호대프로(2B)</t>
  </si>
  <si>
    <t>무브무릎보호대프로</t>
    <phoneticPr fontId="3" type="noConversion"/>
  </si>
  <si>
    <t>무브무릎보호대프로(2B)</t>
    <phoneticPr fontId="3" type="noConversion"/>
  </si>
  <si>
    <t>[Z]무브발목보호대프로</t>
  </si>
  <si>
    <t>[Z]무브발목보호대프로(2B)</t>
  </si>
  <si>
    <t>무브발목보호대프로</t>
    <phoneticPr fontId="3" type="noConversion"/>
  </si>
  <si>
    <t>무브발목보호대프로(2B)</t>
    <phoneticPr fontId="3" type="noConversion"/>
  </si>
  <si>
    <t>모터스피드컴파운드</t>
    <phoneticPr fontId="3" type="noConversion"/>
  </si>
  <si>
    <t>모터스피드컴파운드(2B)</t>
    <phoneticPr fontId="3" type="noConversion"/>
  </si>
  <si>
    <t>무브플랭크숄더밴드</t>
    <phoneticPr fontId="3" type="noConversion"/>
  </si>
  <si>
    <t>무브플랭크숄더밴드(2B)</t>
    <phoneticPr fontId="3" type="noConversion"/>
  </si>
  <si>
    <t>[Z]무브플랭크숄더밴드</t>
  </si>
  <si>
    <t>[Z]무브플랭크숄더밴드(2B)</t>
  </si>
  <si>
    <t>[Z]모터스마트폴더블테이블</t>
  </si>
  <si>
    <t>[Z]모터스마트폴더블테이블(2B)</t>
  </si>
  <si>
    <t>모터스마트폴더블테이블</t>
    <phoneticPr fontId="3" type="noConversion"/>
  </si>
  <si>
    <t>모터스마트폴더블테이블(2B)</t>
    <phoneticPr fontId="3" type="noConversion"/>
  </si>
  <si>
    <t>[Z]더마필링바디브러쉬</t>
  </si>
  <si>
    <t>[Z]더마필링바디브러쉬(2B)</t>
  </si>
  <si>
    <t>더마필링바디브러쉬</t>
    <phoneticPr fontId="3" type="noConversion"/>
  </si>
  <si>
    <t>더마필링바디브러쉬(2B)</t>
    <phoneticPr fontId="3" type="noConversion"/>
  </si>
  <si>
    <t>[Z]리빙스프레이밀대걸레</t>
  </si>
  <si>
    <t>[Z]리빙스프레이밀대걸레세트</t>
  </si>
  <si>
    <t>리빙스프레이밀대걸레리필</t>
    <phoneticPr fontId="3" type="noConversion"/>
  </si>
  <si>
    <t>리빙스프레이밀대걸레</t>
    <phoneticPr fontId="3" type="noConversion"/>
  </si>
  <si>
    <t>리빙스프레이밀대걸레세트</t>
    <phoneticPr fontId="3" type="noConversion"/>
  </si>
  <si>
    <t>[Z]리빙논슬립멀티칼갈이</t>
    <phoneticPr fontId="3" type="noConversion"/>
  </si>
  <si>
    <t>[Z]리빙논슬립멀티칼갈이(2B)</t>
  </si>
  <si>
    <t>리빙논슬립멀티칼갈이</t>
    <phoneticPr fontId="3" type="noConversion"/>
  </si>
  <si>
    <t>리빙논슬립멀티칼갈이(2B)</t>
    <phoneticPr fontId="3" type="noConversion"/>
  </si>
  <si>
    <t>[Z]옴므프로페셔널면도크림</t>
  </si>
  <si>
    <t>[Z]옴므프로페셔널면도크림(2B)</t>
  </si>
  <si>
    <t>옴므프로페셔널면도크림</t>
    <phoneticPr fontId="3" type="noConversion"/>
  </si>
  <si>
    <t>옴므프로페셔널면도크림(2B)</t>
    <phoneticPr fontId="3" type="noConversion"/>
  </si>
  <si>
    <t>옴므프로페셔널면도크림(2S)</t>
  </si>
  <si>
    <t>[Z]리빙음식물쓰레기분리트레이</t>
  </si>
  <si>
    <t>[Z]리빙음식물쓰레기분리트레이(2B)</t>
  </si>
  <si>
    <t>리빙음식물쓰레기분리트레이</t>
    <phoneticPr fontId="3" type="noConversion"/>
  </si>
  <si>
    <t>리빙음식물쓰레기분리트레이(2B)</t>
  </si>
  <si>
    <t>[Z]리빙밀봉압축랩-M</t>
  </si>
  <si>
    <t>[Z]리빙밀봉압축랩-M(2B)</t>
  </si>
  <si>
    <t>리빙밀봉압축랩-M</t>
    <phoneticPr fontId="3" type="noConversion"/>
  </si>
  <si>
    <t>리빙밀봉압축랩-M(2B)</t>
    <phoneticPr fontId="3" type="noConversion"/>
  </si>
  <si>
    <t>[Z]리빙밀봉압축랩-L</t>
  </si>
  <si>
    <t>[Z]리빙밀봉압축랩-L(2B)</t>
  </si>
  <si>
    <t>리빙밀봉압축랩-L</t>
    <phoneticPr fontId="3" type="noConversion"/>
  </si>
  <si>
    <t>리빙밀봉압축랩-L(2B)</t>
    <phoneticPr fontId="3" type="noConversion"/>
  </si>
  <si>
    <t>[Z]옴므올인원바디브러쉬</t>
  </si>
  <si>
    <t>[Z]옴므올인원바디브러쉬(2B)</t>
  </si>
  <si>
    <t>옴므올인원바디브러쉬</t>
    <phoneticPr fontId="3" type="noConversion"/>
  </si>
  <si>
    <t>옴므올인원바디브러쉬(2B)</t>
    <phoneticPr fontId="3" type="noConversion"/>
  </si>
  <si>
    <t>포레스트캠핑의자</t>
    <phoneticPr fontId="3" type="noConversion"/>
  </si>
  <si>
    <t>포레스트캠핑의자(2B)</t>
    <phoneticPr fontId="3" type="noConversion"/>
  </si>
  <si>
    <t>[Z]포레스트캠핑의자</t>
  </si>
  <si>
    <t>[Z]포레스트캠핑의자(2B)</t>
  </si>
  <si>
    <t>[Z]모터3종극세사먼지털이개</t>
  </si>
  <si>
    <t>[Z]모터3종극세사먼지털이개(2B)</t>
  </si>
  <si>
    <t>모터3종극세사먼지털이개</t>
    <phoneticPr fontId="3" type="noConversion"/>
  </si>
  <si>
    <t>모터3종극세사먼지털이개(2B)</t>
    <phoneticPr fontId="3" type="noConversion"/>
  </si>
  <si>
    <t>모터퀵광택코팅제</t>
    <phoneticPr fontId="3" type="noConversion"/>
  </si>
  <si>
    <t>모터퀵광택코팅제(2B)</t>
    <phoneticPr fontId="3" type="noConversion"/>
  </si>
  <si>
    <t>[Z]아케이리빙쓰리자루</t>
  </si>
  <si>
    <t>[Z]아케이리빙쓰리자루(2B)</t>
  </si>
  <si>
    <t>아케이리빙쓰리자루</t>
    <phoneticPr fontId="3" type="noConversion"/>
  </si>
  <si>
    <t>아케이리빙쓰리자루(2B)</t>
    <phoneticPr fontId="3" type="noConversion"/>
  </si>
  <si>
    <t>[Z]리빙치약짜개(2S)</t>
  </si>
  <si>
    <t>[Z]리빙치약짜개(4B)</t>
  </si>
  <si>
    <t>리빙치약짜개(2S)</t>
    <phoneticPr fontId="3" type="noConversion"/>
  </si>
  <si>
    <t>리빙치약짜개(4B)</t>
    <phoneticPr fontId="3" type="noConversion"/>
  </si>
  <si>
    <t>리빙치약짜개(4S)</t>
    <phoneticPr fontId="3" type="noConversion"/>
  </si>
  <si>
    <t>옴므프로페셔널왁싱크림</t>
    <phoneticPr fontId="3" type="noConversion"/>
  </si>
  <si>
    <t>옴므프로페셔널왁싱크림(2B)</t>
    <phoneticPr fontId="3" type="noConversion"/>
  </si>
  <si>
    <t>옴므프로페셔널왁싱크림(3B)</t>
    <phoneticPr fontId="3" type="noConversion"/>
  </si>
  <si>
    <t>[Z]옴므프로페셔널왁싱크림</t>
  </si>
  <si>
    <t>[Z]옴므프로페셔널왁싱크림(2B)</t>
  </si>
  <si>
    <t>더마마일드시카왁싱크림</t>
    <phoneticPr fontId="3" type="noConversion"/>
  </si>
  <si>
    <t>더마마일드시카왁싱크림(2B)</t>
    <phoneticPr fontId="3" type="noConversion"/>
  </si>
  <si>
    <t>더마마일드시카왁싱크림(3B)</t>
    <phoneticPr fontId="3" type="noConversion"/>
  </si>
  <si>
    <t>[Z]더마마일드시카왁싱크림</t>
  </si>
  <si>
    <t>[Z]더마마일드시카왁싱크림(2B)</t>
  </si>
  <si>
    <t>리빙아이스볼메이커-블루레몬</t>
  </si>
  <si>
    <t>리빙아이스볼메이커-블루레몬(2B)</t>
    <phoneticPr fontId="3" type="noConversion"/>
  </si>
  <si>
    <t>리빙아이스볼메이커-블루레몬(3B)</t>
    <phoneticPr fontId="3" type="noConversion"/>
  </si>
  <si>
    <t>리빙아이스볼메이커-샤인머스캣</t>
    <phoneticPr fontId="3" type="noConversion"/>
  </si>
  <si>
    <t>리빙아이스볼메이커-샤인머스캣(2B)</t>
    <phoneticPr fontId="3" type="noConversion"/>
  </si>
  <si>
    <t>리빙아이스볼메이커-샤인머스캣(3B)</t>
    <phoneticPr fontId="3" type="noConversion"/>
  </si>
  <si>
    <t>더마벅스제로스프레이</t>
    <phoneticPr fontId="3" type="noConversion"/>
  </si>
  <si>
    <t>더마벅스제로스프레이(2B)</t>
    <phoneticPr fontId="3" type="noConversion"/>
  </si>
  <si>
    <t>[Z]더마벅스제로스프레이</t>
  </si>
  <si>
    <t>[Z]더마벅스제로스프레이(2B)</t>
  </si>
  <si>
    <t>더마노세범드라이샴푸</t>
    <phoneticPr fontId="3" type="noConversion"/>
  </si>
  <si>
    <t>더마노세범드라이샴푸(2B)</t>
    <phoneticPr fontId="3" type="noConversion"/>
  </si>
  <si>
    <t>[Z]더마노세범드라이샴푸</t>
  </si>
  <si>
    <t>[Z]더마노세범드라이샴푸(2B)</t>
  </si>
  <si>
    <t>[Z]리빙세신사비누</t>
  </si>
  <si>
    <t>[Z]리빙세신사비누(2B)</t>
  </si>
  <si>
    <t>리빙세신사비누</t>
    <phoneticPr fontId="3" type="noConversion"/>
  </si>
  <si>
    <t>리빙세신사비누(2B)</t>
    <phoneticPr fontId="3" type="noConversion"/>
  </si>
  <si>
    <t>[Z]옴므안티럭스남성청결제</t>
    <phoneticPr fontId="3" type="noConversion"/>
  </si>
  <si>
    <t>[Z]옴므안티럭스남성청결제(2S)</t>
  </si>
  <si>
    <t>옴므안티럭스남성청결제</t>
    <phoneticPr fontId="3" type="noConversion"/>
  </si>
  <si>
    <t>옴므안티럭스남성청결제(2S)</t>
    <phoneticPr fontId="3" type="noConversion"/>
  </si>
  <si>
    <t>모터히포카샴푸</t>
  </si>
  <si>
    <t>모터히포카샴푸(2B)</t>
    <phoneticPr fontId="3" type="noConversion"/>
  </si>
  <si>
    <t>[Z]더마퍼퓸바디워시-화이트머스크</t>
    <phoneticPr fontId="3" type="noConversion"/>
  </si>
  <si>
    <t>[Z]더마퍼퓸바디워시-화이트머스크(2B)</t>
  </si>
  <si>
    <t>더마퍼퓸바디워시-화이트머스크</t>
    <phoneticPr fontId="3" type="noConversion"/>
  </si>
  <si>
    <t>더마퍼퓸바디워시-화이트머스크(2B)</t>
    <phoneticPr fontId="3" type="noConversion"/>
  </si>
  <si>
    <t>[Z]더마퍼퓸바디로션-화이트머스크</t>
  </si>
  <si>
    <t>[Z]더마퍼퓸바디로션-화이트머스크(2B)</t>
  </si>
  <si>
    <t>더마퍼퓸바디로션-화이트머스크</t>
    <phoneticPr fontId="3" type="noConversion"/>
  </si>
  <si>
    <t>더마퍼퓸바디로션-화이트머스크(2B)</t>
    <phoneticPr fontId="3" type="noConversion"/>
  </si>
  <si>
    <t>리빙화이트샷아토얼룩제거제</t>
    <phoneticPr fontId="3" type="noConversion"/>
  </si>
  <si>
    <t>리빙화이트샷아토얼룩제거제(2B)</t>
    <phoneticPr fontId="3" type="noConversion"/>
  </si>
  <si>
    <t>[Z]슈퍼올인원트러블폼클렌징</t>
    <phoneticPr fontId="3" type="noConversion"/>
  </si>
  <si>
    <t>[Z]슈퍼올인원트러블폼클렌징(2B)</t>
    <phoneticPr fontId="3" type="noConversion"/>
  </si>
  <si>
    <t>슈퍼올인원트러블폼클렌징</t>
    <phoneticPr fontId="3" type="noConversion"/>
  </si>
  <si>
    <t>슈퍼올인원트러블폼클렌징(2B)</t>
    <phoneticPr fontId="3" type="noConversion"/>
  </si>
  <si>
    <t>청정어성초세안비누(2S)</t>
  </si>
  <si>
    <t>청정어성초세안비누(4B)</t>
    <phoneticPr fontId="3" type="noConversion"/>
  </si>
  <si>
    <t>[Z]청정어성초세안비누(4B)</t>
    <phoneticPr fontId="3" type="noConversion"/>
  </si>
  <si>
    <t>무브코어스케이팅</t>
    <phoneticPr fontId="3" type="noConversion"/>
  </si>
  <si>
    <t>무브코어스케이팅(2B)</t>
    <phoneticPr fontId="3" type="noConversion"/>
  </si>
  <si>
    <t>[Z]무브코어스케이팅</t>
    <phoneticPr fontId="3" type="noConversion"/>
  </si>
  <si>
    <t>[Z]무브코어스케이팅(2B)</t>
    <phoneticPr fontId="3" type="noConversion"/>
  </si>
  <si>
    <t>[Z]리빙블랙왕차크칫솔</t>
    <phoneticPr fontId="3" type="noConversion"/>
  </si>
  <si>
    <t>[Z]리빙블랙왕차크칫솔(2B)</t>
    <phoneticPr fontId="3" type="noConversion"/>
  </si>
  <si>
    <t>리빙블랙왕차크칫솔</t>
    <phoneticPr fontId="3" type="noConversion"/>
  </si>
  <si>
    <t>리빙블랙왕차크칫솔(2B)</t>
    <phoneticPr fontId="3" type="noConversion"/>
  </si>
  <si>
    <t>컬러터치블러셔-살구빛코랄</t>
    <phoneticPr fontId="3" type="noConversion"/>
  </si>
  <si>
    <t>컬러터치블러셔-생귤오렌지</t>
    <phoneticPr fontId="3" type="noConversion"/>
  </si>
  <si>
    <t>컬러터치블러셔-베리라벤더</t>
    <phoneticPr fontId="3" type="noConversion"/>
  </si>
  <si>
    <t>옴므PHA바디로션-센스페로몬</t>
  </si>
  <si>
    <t>옴므PHA바디로션-센스페로몬(2S)</t>
  </si>
  <si>
    <t>[Z]옴므PHA바디로션-센스페로몬</t>
    <phoneticPr fontId="3" type="noConversion"/>
  </si>
  <si>
    <t>[Z]옴므PHA바디로션-센스페로몬(2S)</t>
    <phoneticPr fontId="3" type="noConversion"/>
  </si>
  <si>
    <t>리빙민트차크칫솔</t>
  </si>
  <si>
    <t>리빙민트차크칫솔(2B)</t>
    <phoneticPr fontId="3" type="noConversion"/>
  </si>
  <si>
    <t>[Z]리빙후드득때지우개</t>
    <phoneticPr fontId="3" type="noConversion"/>
  </si>
  <si>
    <t>[Z]리빙후드득때지우개(2B)</t>
    <phoneticPr fontId="3" type="noConversion"/>
  </si>
  <si>
    <t>리빙후드득때지우개</t>
    <phoneticPr fontId="3" type="noConversion"/>
  </si>
  <si>
    <t>리빙후드득때지우개(2B)</t>
    <phoneticPr fontId="3" type="noConversion"/>
  </si>
  <si>
    <t>리빙후드득때지우개(3B)</t>
    <phoneticPr fontId="3" type="noConversion"/>
  </si>
  <si>
    <t>리빙후드득때지우개(4B)</t>
    <phoneticPr fontId="3" type="noConversion"/>
  </si>
  <si>
    <t>리빙계란보관함</t>
    <phoneticPr fontId="3" type="noConversion"/>
  </si>
  <si>
    <t>무브코어스케이팅-슈즈</t>
  </si>
  <si>
    <t>더마블랙샴푸</t>
    <phoneticPr fontId="3" type="noConversion"/>
  </si>
  <si>
    <t>더마블랙샴푸(2B)</t>
    <phoneticPr fontId="3" type="noConversion"/>
  </si>
  <si>
    <t>[Z]리빙전선클립(4S)</t>
    <phoneticPr fontId="3" type="noConversion"/>
  </si>
  <si>
    <t>리빙전선클립(4S)</t>
    <phoneticPr fontId="3" type="noConversion"/>
  </si>
  <si>
    <t>[Z]리빙전선클립(8B)</t>
    <phoneticPr fontId="3" type="noConversion"/>
  </si>
  <si>
    <t>리빙전선클립(8B)</t>
    <phoneticPr fontId="3" type="noConversion"/>
  </si>
  <si>
    <t>옴므슈퍼올인원바디워시-센스페로몬</t>
  </si>
  <si>
    <t>옴므슈퍼올인원바디워시-센스페로몬(2S)</t>
  </si>
  <si>
    <t>옴므슈퍼올인원폼클렌징</t>
  </si>
  <si>
    <t>옴므슈퍼올인원폼클렌징(2S)</t>
  </si>
  <si>
    <t>[Z]옴므슈퍼올인원폼클렌징</t>
    <phoneticPr fontId="3" type="noConversion"/>
  </si>
  <si>
    <t>[Z]옴므슈퍼올인원폼클렌징(2S)</t>
    <phoneticPr fontId="3" type="noConversion"/>
  </si>
  <si>
    <t>[Z]더마퍼퓸바디로션-플로럴머스크</t>
    <phoneticPr fontId="3" type="noConversion"/>
  </si>
  <si>
    <t>[Z]더마퍼퓸바디로션-플로럴머스크(2B)</t>
    <phoneticPr fontId="3" type="noConversion"/>
  </si>
  <si>
    <t>더마퍼퓸바디로션-플로럴머스크</t>
    <phoneticPr fontId="3" type="noConversion"/>
  </si>
  <si>
    <t>더마퍼퓸바디로션-플로럴머스크(2B)</t>
    <phoneticPr fontId="3" type="noConversion"/>
  </si>
  <si>
    <t>[Z]더마퍼퓸바디워시-플로럴머스크</t>
    <phoneticPr fontId="3" type="noConversion"/>
  </si>
  <si>
    <t>[Z]더마퍼퓸바디워시-플로럴머스크(2B)</t>
    <phoneticPr fontId="3" type="noConversion"/>
  </si>
  <si>
    <t>더마퍼퓸바디워시-플로럴머스크</t>
    <phoneticPr fontId="3" type="noConversion"/>
  </si>
  <si>
    <t>더마퍼퓸바디워시-플로럴머스크(2B)</t>
    <phoneticPr fontId="3" type="noConversion"/>
  </si>
  <si>
    <t>컬러타투펜아이라이너-브라운</t>
  </si>
  <si>
    <t>컬러타투펜아이라이너-브라운(2B)</t>
    <phoneticPr fontId="3" type="noConversion"/>
  </si>
  <si>
    <t>컬러타투펜아이라이너-블랙</t>
  </si>
  <si>
    <t>컬러타투펜아이라이너-블랙(2B)</t>
    <phoneticPr fontId="3" type="noConversion"/>
  </si>
  <si>
    <t>컬러타투펜아이라이너-블랙(2S)</t>
    <phoneticPr fontId="3" type="noConversion"/>
  </si>
  <si>
    <t>[Z]컬러타투펜아이라이너-브라운(2B)</t>
    <phoneticPr fontId="3" type="noConversion"/>
  </si>
  <si>
    <t>[Z]컬러타투펜아이라이너-블랙(2B)</t>
    <phoneticPr fontId="3" type="noConversion"/>
  </si>
  <si>
    <t>아토바스앤샴푸-알러지프리</t>
    <phoneticPr fontId="3" type="noConversion"/>
  </si>
  <si>
    <t>아토바스앤샴푸-알러지프리(2S)</t>
  </si>
  <si>
    <t>더마노세범드라이샴푸파우더</t>
  </si>
  <si>
    <t>더마노세범드라이샴푸파우더(2B)</t>
    <phoneticPr fontId="3" type="noConversion"/>
  </si>
  <si>
    <t>메디올인원비오틴탈모샴푸-센스페로몬</t>
  </si>
  <si>
    <t>메디올인원비오틴탈모샴푸-센스페로몬(2S)</t>
  </si>
  <si>
    <t>더마퍼퓸스프레이바디로션</t>
    <phoneticPr fontId="3" type="noConversion"/>
  </si>
  <si>
    <t>더마퍼퓸스프레이바디로션(2B)</t>
    <phoneticPr fontId="3" type="noConversion"/>
  </si>
  <si>
    <t>리빙민트차크치약</t>
  </si>
  <si>
    <t>리빙민트차크치약(2B)</t>
  </si>
  <si>
    <t>리빙레드차크치약</t>
  </si>
  <si>
    <t>리빙레드차크치약(2B)</t>
  </si>
  <si>
    <t>리빙스탠딩핀셋집게</t>
    <phoneticPr fontId="3" type="noConversion"/>
  </si>
  <si>
    <t>부자재-펌프</t>
    <phoneticPr fontId="3" type="noConversion"/>
  </si>
  <si>
    <t>메디올인원바디스프레이-센스페로몬</t>
    <phoneticPr fontId="3" type="noConversion"/>
  </si>
  <si>
    <t>메디올인원바디스프레이-센스페로몬(2B)</t>
    <phoneticPr fontId="3" type="noConversion"/>
  </si>
  <si>
    <t>리빙슬라이스건</t>
    <phoneticPr fontId="3" type="noConversion"/>
  </si>
  <si>
    <t>리빙슬라이스건(2B)</t>
    <phoneticPr fontId="3" type="noConversion"/>
  </si>
  <si>
    <t>슬라이스건-충전선</t>
    <phoneticPr fontId="3" type="noConversion"/>
  </si>
  <si>
    <t>하이브리드민트차크칫솔</t>
    <phoneticPr fontId="3" type="noConversion"/>
  </si>
  <si>
    <t>하이브리드민트차크칫솔(2B)</t>
    <phoneticPr fontId="3" type="noConversion"/>
  </si>
  <si>
    <t>무브오로라네온줄넘기</t>
  </si>
  <si>
    <t>블러셔용기</t>
    <phoneticPr fontId="3" type="noConversion"/>
  </si>
  <si>
    <t>블러셔용기뚜껑</t>
    <phoneticPr fontId="3" type="noConversion"/>
  </si>
  <si>
    <t>리빙여행용압축팩-중대형</t>
  </si>
  <si>
    <t>리빙여행용압축팩-중대형(2B)</t>
    <phoneticPr fontId="3" type="noConversion"/>
  </si>
  <si>
    <t>리빙486치실-남성용</t>
  </si>
  <si>
    <t>리빙486치실-남성용(2B)</t>
    <phoneticPr fontId="3" type="noConversion"/>
  </si>
  <si>
    <t>리빙486치실-여성용</t>
  </si>
  <si>
    <t>리빙486치실-여성용(2B)</t>
    <phoneticPr fontId="3" type="noConversion"/>
  </si>
  <si>
    <t>모터올인원극세사타올</t>
    <phoneticPr fontId="3" type="noConversion"/>
  </si>
  <si>
    <t>모터올인원극세사타올(2B)</t>
    <phoneticPr fontId="3" type="noConversion"/>
  </si>
  <si>
    <t>리빙은하수혀클리너</t>
  </si>
  <si>
    <t>리빙은하수혀클리너(2B)</t>
    <phoneticPr fontId="3" type="noConversion"/>
  </si>
  <si>
    <t>리빙777럭키민트치실</t>
  </si>
  <si>
    <t>리빙777럭키민트치실(2B)</t>
    <phoneticPr fontId="3" type="noConversion"/>
  </si>
  <si>
    <t>리빙올인원족집게4종</t>
  </si>
  <si>
    <t>[Z]리빙올인원족집게4종(2B)</t>
    <phoneticPr fontId="3" type="noConversion"/>
  </si>
  <si>
    <t>리빙올인원족집게4종(3B)</t>
    <phoneticPr fontId="3" type="noConversion"/>
  </si>
  <si>
    <t>리빙올인원족집게4종(4B)</t>
    <phoneticPr fontId="3" type="noConversion"/>
  </si>
  <si>
    <t>모터올인원스크래치가드</t>
  </si>
  <si>
    <t>모터올인원스크래치가드(2B)</t>
    <phoneticPr fontId="3" type="noConversion"/>
  </si>
  <si>
    <t>모터올인원스크래치가드(4B)</t>
  </si>
  <si>
    <t>블랑바디워시-플로럴머스크</t>
    <phoneticPr fontId="3" type="noConversion"/>
  </si>
  <si>
    <t>블랑바디로션-플로럴머스크</t>
  </si>
  <si>
    <t>블랑바디워시-화이트머스크</t>
  </si>
  <si>
    <t>블랑바디로션-화이트머스크</t>
    <phoneticPr fontId="3" type="noConversion"/>
  </si>
  <si>
    <t>블랑바디로션-화이트머스크(2B)</t>
    <phoneticPr fontId="3" type="noConversion"/>
  </si>
  <si>
    <t>블랑바디워시-화이트머스크(2B)</t>
  </si>
  <si>
    <t>블랑바디워시-플로럴머스크(2B)</t>
    <phoneticPr fontId="3" type="noConversion"/>
  </si>
  <si>
    <t>블랑바디로션-플로럴머스크(2B)</t>
    <phoneticPr fontId="3" type="noConversion"/>
  </si>
  <si>
    <t>리빙하이볼얼음메이커-블루하와이</t>
  </si>
  <si>
    <t>리빙하이볼얼음메이커-블루하와이(2B)</t>
    <phoneticPr fontId="3" type="noConversion"/>
  </si>
  <si>
    <t>리빙하이볼얼음메이커-블루하와이(4B)</t>
    <phoneticPr fontId="3" type="noConversion"/>
  </si>
  <si>
    <t>리빙하이볼얼음메이커-골든위스키</t>
  </si>
  <si>
    <t>리빙하이볼얼음메이커-골든위스키(2B)</t>
    <phoneticPr fontId="3" type="noConversion"/>
  </si>
  <si>
    <t>리빙하이볼얼음메이커-골든위스키(4B)</t>
    <phoneticPr fontId="3" type="noConversion"/>
  </si>
  <si>
    <t>리빙하이볼얼음메이커-트로피칼</t>
    <phoneticPr fontId="3" type="noConversion"/>
  </si>
  <si>
    <t>리빙하이볼얼음메이커-트로피칼(2B)</t>
    <phoneticPr fontId="3" type="noConversion"/>
  </si>
  <si>
    <t>리빙하이볼얼음메이커-트로피칼(4B)</t>
    <phoneticPr fontId="3" type="noConversion"/>
  </si>
  <si>
    <t>닥터가드이염방지시트</t>
  </si>
  <si>
    <t>닥터가드이염방지시트(2B)</t>
    <phoneticPr fontId="3" type="noConversion"/>
  </si>
  <si>
    <t>닥터가드이염방지시트(3B)</t>
    <phoneticPr fontId="3" type="noConversion"/>
  </si>
  <si>
    <t>닥터가드이염방지시트(4B)</t>
    <phoneticPr fontId="3" type="noConversion"/>
  </si>
  <si>
    <t>아케이바이롤링바퀴</t>
  </si>
  <si>
    <t>에레녹스원터치캠핑토치</t>
  </si>
  <si>
    <t>에레녹스원터치캠핑토치(2B)</t>
    <phoneticPr fontId="3" type="noConversion"/>
  </si>
  <si>
    <t>희유당화이트바디워시-플로럴머스크</t>
  </si>
  <si>
    <t>희유당화이트바디워시-플로럴머스크(2B)</t>
  </si>
  <si>
    <t>희유당화이트바디로션-플로럴머스크</t>
    <phoneticPr fontId="3" type="noConversion"/>
  </si>
  <si>
    <t>희유당화이트바디로션-플로럴머스크(2B)</t>
    <phoneticPr fontId="3" type="noConversion"/>
  </si>
  <si>
    <t>희유당화이트바디워시-화이트머스크</t>
    <phoneticPr fontId="3" type="noConversion"/>
  </si>
  <si>
    <t>희유당화이트바디워시-화이트머스크(2B)</t>
    <phoneticPr fontId="3" type="noConversion"/>
  </si>
  <si>
    <t>희유당화이트바디로션-화이트머스크</t>
    <phoneticPr fontId="3" type="noConversion"/>
  </si>
  <si>
    <t>희유당화이트바디로션-화이트머스크(2B)</t>
    <phoneticPr fontId="3" type="noConversion"/>
  </si>
  <si>
    <t>퀵코트습식코팅제</t>
  </si>
  <si>
    <t>퀵코트습식코팅제(2B)</t>
  </si>
  <si>
    <t>퀵코트습식코팅제(4B)</t>
    <phoneticPr fontId="3" type="noConversion"/>
  </si>
  <si>
    <t>리빙물때킬러</t>
  </si>
  <si>
    <t>리빙물때킬러(2B)</t>
    <phoneticPr fontId="3" type="noConversion"/>
  </si>
  <si>
    <t>리빙물때킬러(4B)</t>
    <phoneticPr fontId="3" type="noConversion"/>
  </si>
  <si>
    <t>더마노세범휴대용드라이샴푸</t>
  </si>
  <si>
    <t>더마노세범휴대용드라이샴푸(2B)</t>
    <phoneticPr fontId="3" type="noConversion"/>
  </si>
  <si>
    <t>리빙은하수왕차크칫솔-케이스</t>
  </si>
  <si>
    <t>리빙은하수왕차크칫솔-케이스(2B)</t>
    <phoneticPr fontId="3" type="noConversion"/>
  </si>
  <si>
    <t>아케이바이셀프리턴볼-테니스</t>
  </si>
  <si>
    <t>아케이리빙밤칼집가위</t>
    <phoneticPr fontId="3" type="noConversion"/>
  </si>
  <si>
    <t>바이밤칼집가위</t>
    <phoneticPr fontId="3" type="noConversion"/>
  </si>
  <si>
    <t>[Z]아케이바이밤칼집가위(2B)</t>
    <phoneticPr fontId="3" type="noConversion"/>
  </si>
  <si>
    <t>[Z]아케이바이밤칼집가위(3B)</t>
    <phoneticPr fontId="3" type="noConversion"/>
  </si>
  <si>
    <t>[Z]아케이바이밤칼집가위(4B)</t>
    <phoneticPr fontId="3" type="noConversion"/>
  </si>
  <si>
    <t>아케이바이밤칼집가위(4B)</t>
  </si>
  <si>
    <t>리빙스멜샷배수구클리너</t>
  </si>
  <si>
    <t>리빙스멜샷배수구클리너(2B)</t>
    <phoneticPr fontId="3" type="noConversion"/>
  </si>
  <si>
    <t>리빙스멜샷배수구클리너(4B)</t>
    <phoneticPr fontId="3" type="noConversion"/>
  </si>
  <si>
    <t>리빙페이스브러쉬</t>
  </si>
  <si>
    <t>바이페이스브러쉬</t>
    <phoneticPr fontId="3" type="noConversion"/>
  </si>
  <si>
    <t>아케이바이페이스브러쉬</t>
  </si>
  <si>
    <t>[S]아케이바이페이스브러쉬</t>
  </si>
  <si>
    <t>[Z]아케이바이페이스브러쉬(2B)</t>
    <phoneticPr fontId="3" type="noConversion"/>
  </si>
  <si>
    <t>[Z]아케이바이페이스브러쉬(3B)</t>
    <phoneticPr fontId="3" type="noConversion"/>
  </si>
  <si>
    <t>아케이펫이지슬라이딩스푼</t>
  </si>
  <si>
    <t>아케이무브배드민턴리턴콕</t>
  </si>
  <si>
    <t>아케이바이배드민턴리턴콕</t>
    <phoneticPr fontId="3" type="noConversion"/>
  </si>
  <si>
    <t>아케이바이배드민턴리턴콕(2B)</t>
    <phoneticPr fontId="3" type="noConversion"/>
  </si>
  <si>
    <t>[Z]아케이바이배드민턴리턴콕(2B)</t>
  </si>
  <si>
    <t>[Z]아케이바이배드민턴리턴콕(3B)</t>
    <phoneticPr fontId="3" type="noConversion"/>
  </si>
  <si>
    <t>아케이리빙낚시찌알리미</t>
  </si>
  <si>
    <t>아케이리빙낚시찌알리미(2B)</t>
    <phoneticPr fontId="3" type="noConversion"/>
  </si>
  <si>
    <t>[R]리빙셀프렌즈세척기</t>
    <phoneticPr fontId="3" type="noConversion"/>
  </si>
  <si>
    <t>리빙셀프렌즈세척기</t>
  </si>
  <si>
    <t>리빙셀프렌즈세척기(2B)</t>
    <phoneticPr fontId="3" type="noConversion"/>
  </si>
  <si>
    <t>에레녹스원터치텐트</t>
  </si>
  <si>
    <t>아케이무브테니스리턴볼</t>
  </si>
  <si>
    <t>[Z]아케이바이테니스리턴볼(2B)</t>
  </si>
  <si>
    <t>[Z]아케이바이테니스리턴볼(3B)</t>
    <phoneticPr fontId="3" type="noConversion"/>
  </si>
  <si>
    <t>리빙화장품진공펌프용기</t>
  </si>
  <si>
    <t>[Z]아케이바이화장품진공펌프용기(2B)</t>
  </si>
  <si>
    <t>아케이리빙새우손질칼</t>
  </si>
  <si>
    <t>[S]아케이바이새우손질칼</t>
  </si>
  <si>
    <t>[Z]아케이바이새우손질칼(2B)</t>
    <phoneticPr fontId="3" type="noConversion"/>
  </si>
  <si>
    <t>[Z]아케이바이새우손질칼(3B)</t>
    <phoneticPr fontId="3" type="noConversion"/>
  </si>
  <si>
    <t>리빙눈썹관리3종</t>
    <phoneticPr fontId="3" type="noConversion"/>
  </si>
  <si>
    <t>바이눈썹관리3종</t>
    <phoneticPr fontId="3" type="noConversion"/>
  </si>
  <si>
    <t>바이눈썹관리3종-RD</t>
  </si>
  <si>
    <t>[Z]아케이바이눈썹관리3종-RD(2B)</t>
  </si>
  <si>
    <t>[S]아케이바이눈썹관리3종</t>
    <phoneticPr fontId="3" type="noConversion"/>
  </si>
  <si>
    <t>[Z]아케이바이눈썹관리3종(2B)</t>
    <phoneticPr fontId="3" type="noConversion"/>
  </si>
  <si>
    <t>[Z]아케이바이눈썹관리3종(3B)</t>
    <phoneticPr fontId="3" type="noConversion"/>
  </si>
  <si>
    <t>[S]아케이바이눈썹관리3종(3B)</t>
  </si>
  <si>
    <t>리빙비닐장갑홀더</t>
  </si>
  <si>
    <t>아케이바이비닐장갑홀더</t>
    <phoneticPr fontId="3" type="noConversion"/>
  </si>
  <si>
    <t>[Z]아케이바이비닐장갑홀더(2B)</t>
  </si>
  <si>
    <t>[Z]아케이바이비닐장갑홀더(3B)</t>
    <phoneticPr fontId="3" type="noConversion"/>
  </si>
  <si>
    <t>리빙매트리스시트고정클립</t>
  </si>
  <si>
    <t>[Z]아케이바이매트리스시트고정클립(2B)</t>
    <phoneticPr fontId="3" type="noConversion"/>
  </si>
  <si>
    <t>[Z]아케이바이매트리스시트고정클립(3B)</t>
    <phoneticPr fontId="3" type="noConversion"/>
  </si>
  <si>
    <t>리빙침대흔들림방지스토퍼</t>
  </si>
  <si>
    <t>리빙다용도회전걸이</t>
    <phoneticPr fontId="3" type="noConversion"/>
  </si>
  <si>
    <t>아케이바이다용도회전걸이</t>
    <phoneticPr fontId="3" type="noConversion"/>
  </si>
  <si>
    <t>[Z]아케이바이다용도회전걸이(2B)</t>
    <phoneticPr fontId="3" type="noConversion"/>
  </si>
  <si>
    <t>[Z]아케이바이다용도회전걸이(3B)</t>
    <phoneticPr fontId="3" type="noConversion"/>
  </si>
  <si>
    <t>[Z]아케이바이헤어드라이기거치대(2B)</t>
    <phoneticPr fontId="3" type="noConversion"/>
  </si>
  <si>
    <t>[Z]아케이바이헤어드라이기거치대(3B)</t>
    <phoneticPr fontId="3" type="noConversion"/>
  </si>
  <si>
    <t>아케이바이헤어드라이기거치대(4B)</t>
    <phoneticPr fontId="3" type="noConversion"/>
  </si>
  <si>
    <t>아케이리빙헤어드라이기거치대</t>
  </si>
  <si>
    <t>아케이바이헤어드라이기거치대</t>
    <phoneticPr fontId="3" type="noConversion"/>
  </si>
  <si>
    <t>아케이리빙가정용랩커팅기</t>
  </si>
  <si>
    <t>[Z]아케이리빙가정용랩커팅기(2B)</t>
    <phoneticPr fontId="3" type="noConversion"/>
  </si>
  <si>
    <t>[Z]아케이리빙가정용랩커팅기(3B)</t>
    <phoneticPr fontId="3" type="noConversion"/>
  </si>
  <si>
    <t>[Z]아케이바이가정용랩커팅기(4B)</t>
    <phoneticPr fontId="3" type="noConversion"/>
  </si>
  <si>
    <t>아케이바이가정용랩커팅기</t>
  </si>
  <si>
    <t>아케이리빙만능고정후크세트</t>
  </si>
  <si>
    <t>아케이리빙핸즈프리신발벗기</t>
  </si>
  <si>
    <t>리빙거품롤러비누케이스</t>
  </si>
  <si>
    <t>아케이바이거품롤러비누케이스</t>
    <phoneticPr fontId="3" type="noConversion"/>
  </si>
  <si>
    <t>[Z]아케이바이거품롤러비누케이스(2B)</t>
    <phoneticPr fontId="3" type="noConversion"/>
  </si>
  <si>
    <t>[Z]아케이바이거품롤러비누케이스(3B)</t>
    <phoneticPr fontId="3" type="noConversion"/>
  </si>
  <si>
    <t>아케이바이거품롤러비누케이스(4B)</t>
  </si>
  <si>
    <t>아케이리빙실리콘문고리커버</t>
  </si>
  <si>
    <t>[Z]아케이바이코털정리세트(2B)</t>
    <phoneticPr fontId="3" type="noConversion"/>
  </si>
  <si>
    <t>[Z]아케이바이코털정리세트(3B)</t>
    <phoneticPr fontId="3" type="noConversion"/>
  </si>
  <si>
    <t>아케이리빙코털정리세트</t>
  </si>
  <si>
    <t>아케이바이코털정리세트</t>
    <phoneticPr fontId="3" type="noConversion"/>
  </si>
  <si>
    <t>아케이리빙주방부직포브러쉬</t>
  </si>
  <si>
    <t>아케이바이주방부직포브러쉬(2B)</t>
    <phoneticPr fontId="3" type="noConversion"/>
  </si>
  <si>
    <t>아케이리빙휘어지는틈새브러쉬</t>
  </si>
  <si>
    <t>아케이바이휘어지는틈새브러쉬</t>
    <phoneticPr fontId="3" type="noConversion"/>
  </si>
  <si>
    <t>[Z]아케이바이휘어지는틈새브러쉬(2B)</t>
  </si>
  <si>
    <t>[Z]아케이바이휘어지는틈새브러쉬(3B)</t>
    <phoneticPr fontId="3" type="noConversion"/>
  </si>
  <si>
    <t>아케이리빙매트리스시트정리기</t>
  </si>
  <si>
    <t>아케이바이실리콘핸들커버</t>
    <phoneticPr fontId="3" type="noConversion"/>
  </si>
  <si>
    <t>아케이리빙실리콘핸들커버</t>
  </si>
  <si>
    <t>[Z]아케이바이실리콘핸들커버(2B)</t>
    <phoneticPr fontId="3" type="noConversion"/>
  </si>
  <si>
    <t>[Z]아케이바이실리콘핸들커버(3B)</t>
    <phoneticPr fontId="3" type="noConversion"/>
  </si>
  <si>
    <t>아케이바이실리콘핸들커버(4B)</t>
    <phoneticPr fontId="3" type="noConversion"/>
  </si>
  <si>
    <t>아케이리빙채소슬라이서</t>
  </si>
  <si>
    <t>[Z]아케이바이초슬림만능브러쉬(2B)</t>
    <phoneticPr fontId="3" type="noConversion"/>
  </si>
  <si>
    <t>[Z]아케이바이초슬림만능브러쉬(3B)</t>
    <phoneticPr fontId="3" type="noConversion"/>
  </si>
  <si>
    <t>아케이리빙초슬림만능브러쉬</t>
  </si>
  <si>
    <t>아케이바이초슬림만능브러쉬</t>
    <phoneticPr fontId="3" type="noConversion"/>
  </si>
  <si>
    <t>아케이리빙스티치제거기</t>
  </si>
  <si>
    <t>아케이바이스티치제거기</t>
    <phoneticPr fontId="3" type="noConversion"/>
  </si>
  <si>
    <t>[Z]아케이바이스티치제거기(2B)</t>
  </si>
  <si>
    <t>[Z]아케이바이스티치제거기(3B)</t>
    <phoneticPr fontId="3" type="noConversion"/>
  </si>
  <si>
    <t>아케이리빙케이블정리클립</t>
  </si>
  <si>
    <t>아케이바이케이블정리클립</t>
    <phoneticPr fontId="3" type="noConversion"/>
  </si>
  <si>
    <t>[Z]아케이바이케이블정리클립(2B)</t>
    <phoneticPr fontId="3" type="noConversion"/>
  </si>
  <si>
    <t>[Z]아케이바이케이블정리클립(3B)</t>
    <phoneticPr fontId="3" type="noConversion"/>
  </si>
  <si>
    <t>아케이리빙양면스퀴지브러쉬</t>
  </si>
  <si>
    <t>아케이리빙속옷보관함</t>
  </si>
  <si>
    <t>아케이바이속옷보관함</t>
    <phoneticPr fontId="3" type="noConversion"/>
  </si>
  <si>
    <t>[Z]아케이바이속옷보관함(2B)</t>
    <phoneticPr fontId="3" type="noConversion"/>
  </si>
  <si>
    <t>[Z]아케이바이속옷보관함(3B)</t>
    <phoneticPr fontId="3" type="noConversion"/>
  </si>
  <si>
    <t>아케이바이속옷보관함(4B)</t>
    <phoneticPr fontId="3" type="noConversion"/>
  </si>
  <si>
    <t>리빙사이드미러스퀴즈클리너</t>
  </si>
  <si>
    <t>아케이바이사이드미러스퀴즈클리너</t>
    <phoneticPr fontId="3" type="noConversion"/>
  </si>
  <si>
    <t>[Z]아케이바이사이드미러스퀴즈클리너(2B)</t>
    <phoneticPr fontId="3" type="noConversion"/>
  </si>
  <si>
    <t>[Z]아케이바이사이드미러스퀴즈클리너(3B)</t>
    <phoneticPr fontId="3" type="noConversion"/>
  </si>
  <si>
    <t>아케이리빙슬림핏핸드폰거치대</t>
  </si>
  <si>
    <t>아케이리빙알뜰주걱</t>
  </si>
  <si>
    <t>아케이바이알뜰주걱</t>
    <phoneticPr fontId="3" type="noConversion"/>
  </si>
  <si>
    <t>[Z]아케이바이알뜰주걱(2B)</t>
  </si>
  <si>
    <t>[Z]아케이바이알뜰주걱(3B)</t>
    <phoneticPr fontId="3" type="noConversion"/>
  </si>
  <si>
    <t>아케이리빙물기탈탈회전채반</t>
  </si>
  <si>
    <t>아케이리빙스탠딩주걱</t>
  </si>
  <si>
    <t>아케이리빙지퍼손잡이</t>
  </si>
  <si>
    <t>아케이바이지퍼손잡이</t>
    <phoneticPr fontId="3" type="noConversion"/>
  </si>
  <si>
    <t>[Z]아케이바이지퍼손잡이(2B)</t>
  </si>
  <si>
    <t>[Z]아케이바이지퍼손잡이(3B)</t>
    <phoneticPr fontId="3" type="noConversion"/>
  </si>
  <si>
    <t>아케이바이만능손잡이걸레</t>
  </si>
  <si>
    <t>[Z]아케이바이만능손잡이걸레(2B)</t>
    <phoneticPr fontId="3" type="noConversion"/>
  </si>
  <si>
    <t>[Z]아케이바이만능손잡이걸레(3B)</t>
    <phoneticPr fontId="3" type="noConversion"/>
  </si>
  <si>
    <t>아케이바이신발방수커버</t>
    <phoneticPr fontId="3" type="noConversion"/>
  </si>
  <si>
    <t>아케이바이똑딱이단추펀치세트</t>
    <phoneticPr fontId="3" type="noConversion"/>
  </si>
  <si>
    <t>[Z]아케이바이똑딱이단추펀치세트(2B)</t>
    <phoneticPr fontId="3" type="noConversion"/>
  </si>
  <si>
    <t>아케이바이초강력뚫어뻥</t>
    <phoneticPr fontId="3" type="noConversion"/>
  </si>
  <si>
    <t>[Z]아케이바이초강력뚫어뻥(2B)</t>
    <phoneticPr fontId="3" type="noConversion"/>
  </si>
  <si>
    <t>아케이바이늘어나는장바구니</t>
    <phoneticPr fontId="3" type="noConversion"/>
  </si>
  <si>
    <t>아케이바이호텔용옷걸이</t>
    <phoneticPr fontId="3" type="noConversion"/>
  </si>
  <si>
    <t>[Z]아케이바이호텔용옷걸이(2B)</t>
    <phoneticPr fontId="3" type="noConversion"/>
  </si>
  <si>
    <t>[Z]아케이바이호텔용옷걸이(3B)</t>
    <phoneticPr fontId="3" type="noConversion"/>
  </si>
  <si>
    <t>아케이바이냉장고분리칸막이</t>
    <phoneticPr fontId="3" type="noConversion"/>
  </si>
  <si>
    <t>아케이바이실내세차초미세브러쉬</t>
    <phoneticPr fontId="3" type="noConversion"/>
  </si>
  <si>
    <t>[Z]아케이바이실내세차초미세브러쉬(2B)</t>
    <phoneticPr fontId="3" type="noConversion"/>
  </si>
  <si>
    <t>[Z]아케이바이실내세차초미세브러쉬(3B)</t>
    <phoneticPr fontId="3" type="noConversion"/>
  </si>
  <si>
    <t>아케이바이실내세차초미세브러쉬-RD</t>
    <phoneticPr fontId="3" type="noConversion"/>
  </si>
  <si>
    <t>[Z]아케이바이실내세차초미세브러쉬-RD(2B)</t>
    <phoneticPr fontId="3" type="noConversion"/>
  </si>
  <si>
    <t>[Z]아케이바이실내세차초미세브러쉬-RD(3B)</t>
    <phoneticPr fontId="3" type="noConversion"/>
  </si>
  <si>
    <t>아케이바이청소기레이저</t>
    <phoneticPr fontId="3" type="noConversion"/>
  </si>
  <si>
    <t>아케이바이소음방지밴드</t>
    <phoneticPr fontId="3" type="noConversion"/>
  </si>
  <si>
    <t>아케이바이터치디스펜서</t>
    <phoneticPr fontId="3" type="noConversion"/>
  </si>
  <si>
    <t>아케이바이종이팩보조캡</t>
    <phoneticPr fontId="3" type="noConversion"/>
  </si>
  <si>
    <t>아케이바이가구운반기</t>
    <phoneticPr fontId="3" type="noConversion"/>
  </si>
  <si>
    <t>아케이바이화장품파우치</t>
    <phoneticPr fontId="3" type="noConversion"/>
  </si>
  <si>
    <t>[Z]아케이바이화장품파우치(2B)</t>
    <phoneticPr fontId="3" type="noConversion"/>
  </si>
  <si>
    <t>아케이바이레몬착즙기</t>
    <phoneticPr fontId="3" type="noConversion"/>
  </si>
  <si>
    <t>[Z]아케이바이레몬착즙기(2B)</t>
    <phoneticPr fontId="3" type="noConversion"/>
  </si>
  <si>
    <t>아케이바이모자거치대</t>
    <phoneticPr fontId="3" type="noConversion"/>
  </si>
  <si>
    <t>[Z]아케이바이모자거치대(2B)</t>
  </si>
  <si>
    <t>[Z]아케이바이모자거치대(3B)</t>
    <phoneticPr fontId="3" type="noConversion"/>
  </si>
  <si>
    <t>아케이바이텀블러믹서기</t>
    <phoneticPr fontId="3" type="noConversion"/>
  </si>
  <si>
    <t>아케이바이여행용파우치</t>
    <phoneticPr fontId="3" type="noConversion"/>
  </si>
  <si>
    <t>[Z]아케이바이여행용파우치(2B)</t>
    <phoneticPr fontId="3" type="noConversion"/>
  </si>
  <si>
    <t>[Z]아케이바이여행용파우치(3B)</t>
    <phoneticPr fontId="3" type="noConversion"/>
  </si>
  <si>
    <t>아케이바이전동미니거품기</t>
    <phoneticPr fontId="3" type="noConversion"/>
  </si>
  <si>
    <t>아케이바이앞꿈치쿠션패드</t>
    <phoneticPr fontId="3" type="noConversion"/>
  </si>
  <si>
    <t>아케이바이샤워기헤드청소솔</t>
    <phoneticPr fontId="3" type="noConversion"/>
  </si>
  <si>
    <t>[Z]아케이바이샤워기헤드청소솔(2B)</t>
    <phoneticPr fontId="3" type="noConversion"/>
  </si>
  <si>
    <t>아케이바이버터소분보관함</t>
    <phoneticPr fontId="3" type="noConversion"/>
  </si>
  <si>
    <t>[Z]아케이바이버터소분보관함(2B)</t>
    <phoneticPr fontId="3" type="noConversion"/>
  </si>
  <si>
    <t>아케이바이USB미니라이트</t>
  </si>
  <si>
    <t>[Z]아케이바이USB미니라이트(2B)</t>
    <phoneticPr fontId="3" type="noConversion"/>
  </si>
  <si>
    <t>아케이바이플라잉캐치볼</t>
  </si>
  <si>
    <t>아케이바이접이식봉투정리함</t>
  </si>
  <si>
    <t>[Z]아케이바이접이식봉투정리함(2B)</t>
  </si>
  <si>
    <t>[Z]아케이바이접이식봉투정리함(3B)</t>
    <phoneticPr fontId="3" type="noConversion"/>
  </si>
  <si>
    <t>아케이바이접이식봉투정리함(4B)</t>
    <phoneticPr fontId="3" type="noConversion"/>
  </si>
  <si>
    <t>아케이바이세탁기먼지거름망</t>
  </si>
  <si>
    <t>[Z]아케이바이세탁기먼지거름망(2B)</t>
    <phoneticPr fontId="3" type="noConversion"/>
  </si>
  <si>
    <t>[Z]아케이바이세탁기먼지거름망(3B)</t>
    <phoneticPr fontId="3" type="noConversion"/>
  </si>
  <si>
    <t>아케이바이세탁기먼지거름망(4B)</t>
    <phoneticPr fontId="3" type="noConversion"/>
  </si>
  <si>
    <t>아케이바이바느질실끼우개</t>
  </si>
  <si>
    <t>[Z]아케이바이바느질실끼우개(2B)</t>
    <phoneticPr fontId="3" type="noConversion"/>
  </si>
  <si>
    <t>[Z]아케이바이바느질실끼우개(3B)</t>
    <phoneticPr fontId="3" type="noConversion"/>
  </si>
  <si>
    <t>아케이바이벽걸이매쉬수납망</t>
  </si>
  <si>
    <t>[Z]아케이바이벽걸이매쉬수납망(2B)</t>
    <phoneticPr fontId="3" type="noConversion"/>
  </si>
  <si>
    <t>아케이바이창틀청소브러쉬</t>
  </si>
  <si>
    <t>[Z]아케이바이창틀청소브러쉬(2B)</t>
    <phoneticPr fontId="3" type="noConversion"/>
  </si>
  <si>
    <t>[Z]아케이바이창틀청소브러쉬(3B)</t>
    <phoneticPr fontId="3" type="noConversion"/>
  </si>
  <si>
    <t>아케이바이창틀청소브러쉬(4B)</t>
    <phoneticPr fontId="3" type="noConversion"/>
  </si>
  <si>
    <t>아케이바이오토디스펜서치실</t>
    <phoneticPr fontId="3" type="noConversion"/>
  </si>
  <si>
    <t>[Z]아케이바이오토디스펜서치실(2B)</t>
    <phoneticPr fontId="3" type="noConversion"/>
  </si>
  <si>
    <t>푸러블고농축캡슐세탁조클리너</t>
    <phoneticPr fontId="3" type="noConversion"/>
  </si>
  <si>
    <t>푸러블고농축캡슐세탁조클리너(2B)</t>
    <phoneticPr fontId="3" type="noConversion"/>
  </si>
  <si>
    <t>아케이바이논슬립자동차핸들커버</t>
    <phoneticPr fontId="3" type="noConversion"/>
  </si>
  <si>
    <t>[Z]아케이바이논슬립자동차핸들커버(2B)</t>
    <phoneticPr fontId="3" type="noConversion"/>
  </si>
  <si>
    <t>[Z]아케이바이논슬립자동차핸들커버(3B)</t>
    <phoneticPr fontId="3" type="noConversion"/>
  </si>
  <si>
    <t>아케이바이아이브로우커팅기</t>
    <phoneticPr fontId="3" type="noConversion"/>
  </si>
  <si>
    <t>[Z]아케이바이아이브로우커팅기(2B)</t>
    <phoneticPr fontId="3" type="noConversion"/>
  </si>
  <si>
    <t>[Z]아케이바이아이브로우커팅기(3B)</t>
    <phoneticPr fontId="3" type="noConversion"/>
  </si>
  <si>
    <t>아케이바이케이블보호캡</t>
    <phoneticPr fontId="3" type="noConversion"/>
  </si>
  <si>
    <t>아케이바이10구알약통</t>
  </si>
  <si>
    <t>아케이바이3D수면안대</t>
  </si>
  <si>
    <t>아케이바이남성용드로즈팬티-네이비2XL</t>
  </si>
  <si>
    <t>아케이바이남성용드로즈팬티-네이비3XL</t>
  </si>
  <si>
    <t>아케이바이남성용드로즈팬티-네이비4XL</t>
  </si>
  <si>
    <t>아케이바이남성용드로즈팬티-네이비XL</t>
  </si>
  <si>
    <t>아케이바이남성용드로즈팬티-블랙2XL</t>
  </si>
  <si>
    <t>아케이바이남성용드로즈팬티-블랙3XL</t>
  </si>
  <si>
    <t>아케이바이남성용드로즈팬티-블랙4XL</t>
  </si>
  <si>
    <t>아케이바이남성용드로즈팬티-블랙XL</t>
    <phoneticPr fontId="3" type="noConversion"/>
  </si>
  <si>
    <t>아케이바이C타입충전케이블-1M</t>
  </si>
  <si>
    <t>아케이바이창문틈새청소부</t>
  </si>
  <si>
    <t>아케이바이두피클렌징샴푸브러쉬</t>
  </si>
  <si>
    <t>아케이바이만능행주</t>
  </si>
  <si>
    <t>아케이바이무타공키친타올걸이</t>
  </si>
  <si>
    <t>아케이바이건식아이스쿨타올</t>
  </si>
  <si>
    <t>아케이바이차량용논슬립패드</t>
  </si>
  <si>
    <t>아케이바이실리콘먼지제거기</t>
  </si>
  <si>
    <t>아케이바이물빠짐비누거치대</t>
  </si>
  <si>
    <t>아케이바이자동물빠짐비누홀더</t>
    <phoneticPr fontId="3" type="noConversion"/>
  </si>
  <si>
    <t>[Z]아케이바이자동물빠짐비누홀더(2B)</t>
    <phoneticPr fontId="3" type="noConversion"/>
  </si>
  <si>
    <t>[Z]아케이바이자동물빠짐비누홀더(3B)</t>
    <phoneticPr fontId="3" type="noConversion"/>
  </si>
  <si>
    <t>아케이바이자동물빠짐비누홀더(4B)</t>
    <phoneticPr fontId="3" type="noConversion"/>
  </si>
  <si>
    <t>아케이바이무타공슬리퍼거치대</t>
  </si>
  <si>
    <t>아케이바이도킹보조배터리</t>
  </si>
  <si>
    <t>아케이바이복부보정팬티-스킨</t>
  </si>
  <si>
    <t>아케이바이복부보정팬티-핑크</t>
  </si>
  <si>
    <t>아케이바이남성용V넥쿨티-화이트2XL</t>
  </si>
  <si>
    <t>아케이바이남성용V넥쿨티-화이트3XL</t>
  </si>
  <si>
    <t>아케이바이남성용V넥쿨티-화이트4XL</t>
  </si>
  <si>
    <t>아케이바이남성용심리스나시-XL</t>
  </si>
  <si>
    <t>아케이바이남성용심리스나시-2XL</t>
  </si>
  <si>
    <t>아케이바이남성용심리스나시-3XL</t>
  </si>
  <si>
    <t>아케이바이360도회전트레이</t>
  </si>
  <si>
    <t>아케이바이노와이어심리스브라-블랙S</t>
  </si>
  <si>
    <t>아케이바이노와이어심리스브라-블랙M</t>
  </si>
  <si>
    <t>아케이바이노와이어심리스브라-블랙L</t>
  </si>
  <si>
    <t>아케이바이노와이어심리스브라-블랙XL</t>
  </si>
  <si>
    <t>아케이바이노와이어심리스브라-그레이S</t>
  </si>
  <si>
    <t>아케이바이노와이어심리스브라-그레이M</t>
  </si>
  <si>
    <t>아케이바이노와이어심리스브라-그레이L</t>
  </si>
  <si>
    <t>아케이바이노와이어심리스브라-그레이XL</t>
  </si>
  <si>
    <t>아케이바이노와이어심리스브라-스킨S</t>
  </si>
  <si>
    <t>아케이바이노와이어심리스브라-스킨M</t>
  </si>
  <si>
    <t>아케이바이노와이어심리스브라-스킨L</t>
  </si>
  <si>
    <t>아케이바이노와이어심리스브라-스킨XL</t>
  </si>
  <si>
    <t>아케이바이종아리압박밴드</t>
  </si>
  <si>
    <t>아케이바이남성용V넥쿨티-블랙2XL</t>
  </si>
  <si>
    <t>아케이바이남성용V넥쿨티-블랙3XL</t>
  </si>
  <si>
    <t>아케이바이남성용V넥쿨티-블랙4XL</t>
  </si>
  <si>
    <t>아케이바이런드리볼대형</t>
  </si>
  <si>
    <t>아케이바이모자땀흡수패드</t>
  </si>
  <si>
    <t>아케이바이물기싹핸드스퀴지</t>
    <phoneticPr fontId="3" type="noConversion"/>
  </si>
  <si>
    <t>아케이바이물기클린핸드스퀴지</t>
    <phoneticPr fontId="3" type="noConversion"/>
  </si>
  <si>
    <t>[Z]아케이바이물기클린핸드스퀴지(2B)</t>
    <phoneticPr fontId="3" type="noConversion"/>
  </si>
  <si>
    <t>[Z]아케이바이물기클린핸드스퀴지(3B)</t>
    <phoneticPr fontId="3" type="noConversion"/>
  </si>
  <si>
    <t>아케이바이물기클린핸드스퀴지(4B)</t>
    <phoneticPr fontId="3" type="noConversion"/>
  </si>
  <si>
    <t>아케이바이스텐수세미거치대</t>
  </si>
  <si>
    <t>아케이바이차량용극세사프리미엄세차타올</t>
  </si>
  <si>
    <t>아케이바이차량용시거잭USB충전포트</t>
  </si>
  <si>
    <t>아케이바이쿨토시손목형화이트</t>
  </si>
  <si>
    <t>아케이바이프리미엄2포트고속충전기</t>
  </si>
  <si>
    <t>아케이바이홑이불스카이빅체크</t>
  </si>
  <si>
    <t>아케이바이밀봉집게세트-블루</t>
  </si>
  <si>
    <t>아케이바이휴대용면도기-4중날</t>
  </si>
  <si>
    <t>아케이바이휴대용면도기-6중날</t>
  </si>
  <si>
    <t>아케이바이밀봉집게세트-핑크</t>
  </si>
  <si>
    <t>아케이바이밀봉집게세트-그린</t>
  </si>
  <si>
    <t>아케이바이반팔파자마세트-크림피넛베어</t>
  </si>
  <si>
    <t>아케이바이반팔파자마세트-달달복숭아</t>
  </si>
  <si>
    <t>아케이바이반팔파자마세트-베이비인디핑크</t>
  </si>
  <si>
    <t>아케이바이반팔파자마세트-크림쿠키베어</t>
  </si>
  <si>
    <t>아케이바이안전택배칼</t>
    <phoneticPr fontId="3" type="noConversion"/>
  </si>
  <si>
    <t>아케이바이신발정리슈즈렉</t>
    <phoneticPr fontId="3" type="noConversion"/>
  </si>
  <si>
    <t>아케이바이스판끈나시-화이트FREE</t>
  </si>
  <si>
    <t>아케이바이스판끈나시-화이트BIG</t>
  </si>
  <si>
    <t>아케이바이스판끈나시-검정FREE</t>
  </si>
  <si>
    <t>아케이바이스판끈나시-검정BIG</t>
  </si>
  <si>
    <t>아케이바이초미세안개분사스프레이</t>
  </si>
  <si>
    <t>바이초미세안개분사스프레이(2B)</t>
    <phoneticPr fontId="3" type="noConversion"/>
  </si>
  <si>
    <t>바이초미세안개분사스프레이</t>
    <phoneticPr fontId="3" type="noConversion"/>
  </si>
  <si>
    <t>아케이바이전자레인지용밀폐용기</t>
  </si>
  <si>
    <t>아케이바이실리콘의자발커버세트</t>
  </si>
  <si>
    <t>아케이바이심리스노라인팬티-블랙M</t>
  </si>
  <si>
    <t>아케이바이심리스노라인팬티-블랙L</t>
  </si>
  <si>
    <t>아케이바이심리스노라인팬티-블랙XL</t>
  </si>
  <si>
    <t>아케이바이심리스노라인팬티-블랙XXL</t>
  </si>
  <si>
    <t>아케이바이심리스노라인팬티-스킨M</t>
  </si>
  <si>
    <t>아케이바이심리스노라인팬티-스킨L</t>
  </si>
  <si>
    <t>아케이바이심리스노라인팬티-스킨XL</t>
  </si>
  <si>
    <t>아케이바이심리스노라인팬티-스킨XXL</t>
    <phoneticPr fontId="3" type="noConversion"/>
  </si>
  <si>
    <t>아케이바이심리스노라인팬티-화이트M</t>
  </si>
  <si>
    <t>아케이바이심리스노라인팬티-화이트L</t>
  </si>
  <si>
    <t>아케이바이심리스노라인팬티-화이트XL</t>
  </si>
  <si>
    <t>아케이바이심리스노라인팬티-화이트XXL</t>
    <phoneticPr fontId="3" type="noConversion"/>
  </si>
  <si>
    <t>아케이바이열수축전선튜브</t>
    <phoneticPr fontId="3" type="noConversion"/>
  </si>
  <si>
    <t>푸러블고농축캡슐표백제</t>
    <phoneticPr fontId="3" type="noConversion"/>
  </si>
  <si>
    <t>푸러블고농축캡슐표백제(2B)</t>
    <phoneticPr fontId="3" type="noConversion"/>
  </si>
  <si>
    <t>아케이바이마늘껍질제거기</t>
    <phoneticPr fontId="3" type="noConversion"/>
  </si>
  <si>
    <t>아케이바이오일스프레이용기</t>
    <phoneticPr fontId="3" type="noConversion"/>
  </si>
  <si>
    <t>[Z]아케이바이오일스프레이용기(2B)</t>
  </si>
  <si>
    <t>[Z]아케이바이오일스프레이용기(3B)</t>
  </si>
  <si>
    <t>아케이바이부착식주방도구걸이</t>
    <phoneticPr fontId="3" type="noConversion"/>
  </si>
  <si>
    <t>[Z]아케이바이부착식주방도구걸이(2B)</t>
    <phoneticPr fontId="3" type="noConversion"/>
  </si>
  <si>
    <t>[Z]아케이바이부착식주방도구걸이(3B)</t>
    <phoneticPr fontId="3" type="noConversion"/>
  </si>
  <si>
    <t>아케이바이미니과일껍질필러</t>
  </si>
  <si>
    <t>[Z]아케이바이미니과일껍질필러(2B)</t>
    <phoneticPr fontId="3" type="noConversion"/>
  </si>
  <si>
    <t>아케이바이오렌지칼</t>
  </si>
  <si>
    <t>아케이바이리모컨자석홀더</t>
    <phoneticPr fontId="3" type="noConversion"/>
  </si>
  <si>
    <t>[Z]아케이바이리모컨자석홀더(2B)</t>
    <phoneticPr fontId="3" type="noConversion"/>
  </si>
  <si>
    <t>[Z]아케이바이리모컨자석홀더(3B)</t>
    <phoneticPr fontId="3" type="noConversion"/>
  </si>
  <si>
    <t>아케이바이리모컨자석홀더(4B)</t>
    <phoneticPr fontId="3" type="noConversion"/>
  </si>
  <si>
    <t>아케이바이사이드윈도우빗물제거기</t>
    <phoneticPr fontId="3" type="noConversion"/>
  </si>
  <si>
    <t>[Z]아케이바이사이드윈도우빗물제거기(2B)</t>
    <phoneticPr fontId="3" type="noConversion"/>
  </si>
  <si>
    <t>[Z]아케이바이사이드윈도우빗물제거기(3B)</t>
    <phoneticPr fontId="3" type="noConversion"/>
  </si>
  <si>
    <t>아케이바이도어행거</t>
  </si>
  <si>
    <t>[Z]아케이바이도어행거(2B)</t>
    <phoneticPr fontId="3" type="noConversion"/>
  </si>
  <si>
    <t>아케이바이도어행거(3B)</t>
    <phoneticPr fontId="3" type="noConversion"/>
  </si>
  <si>
    <t>아케이바이도어행거(4B)</t>
    <phoneticPr fontId="3" type="noConversion"/>
  </si>
  <si>
    <t>아케이바이무타공벽걸이선반</t>
  </si>
  <si>
    <t>아케이바이물기제거스퀴지밀대</t>
    <phoneticPr fontId="3" type="noConversion"/>
  </si>
  <si>
    <t>아케이바이물기제거스퀴지밀대(2B)</t>
  </si>
  <si>
    <t>아케이바이물기제거스퀴지밀대(3B)</t>
  </si>
  <si>
    <t>아케이바이물기제거스퀴지밀대(4B)</t>
  </si>
  <si>
    <t>아케이바이버터스틱케이스</t>
  </si>
  <si>
    <t>아케이바이3단미니신발장</t>
  </si>
  <si>
    <t>[Z]아케이바이3단미니신발장(2B)</t>
    <phoneticPr fontId="3" type="noConversion"/>
  </si>
  <si>
    <t>아케이바이냄비뚜껑거치대</t>
    <phoneticPr fontId="3" type="noConversion"/>
  </si>
  <si>
    <t>[Z]아케이바이냄비뚜껑거치대(2B)</t>
    <phoneticPr fontId="3" type="noConversion"/>
  </si>
  <si>
    <t>아케이바이주방걸이용쓰레기통</t>
    <phoneticPr fontId="3" type="noConversion"/>
  </si>
  <si>
    <t>[Z]아케이바이주방걸이용쓰레기통(2B)</t>
    <phoneticPr fontId="3" type="noConversion"/>
  </si>
  <si>
    <t>아케이바이책상수납정리함</t>
    <phoneticPr fontId="3" type="noConversion"/>
  </si>
  <si>
    <t>[Z]아케이바이책상수납정리함(2B)</t>
    <phoneticPr fontId="3" type="noConversion"/>
  </si>
  <si>
    <t>아케이바이러닝벨트</t>
    <phoneticPr fontId="3" type="noConversion"/>
  </si>
  <si>
    <t>[Z]아케이바이러닝벨트(2B)</t>
    <phoneticPr fontId="3" type="noConversion"/>
  </si>
  <si>
    <t>[Z]아케이바이러닝벨트(3B)</t>
    <phoneticPr fontId="3" type="noConversion"/>
  </si>
  <si>
    <t>아케이바이부착식미니선반</t>
    <phoneticPr fontId="3" type="noConversion"/>
  </si>
  <si>
    <t>[Z]아케이바이부착식미니선반(2B)</t>
    <phoneticPr fontId="3" type="noConversion"/>
  </si>
  <si>
    <t>아케이바이드라이헤어캡</t>
  </si>
  <si>
    <t>[Z]아케이바이드라이헤어캡(2B)</t>
    <phoneticPr fontId="3" type="noConversion"/>
  </si>
  <si>
    <t>[Z]아케이바이드라이헤어캡(3B)</t>
    <phoneticPr fontId="3" type="noConversion"/>
  </si>
  <si>
    <t>아케이바이아웃도어모자</t>
  </si>
  <si>
    <t>[Z]아케이바이아웃도어모자(2B)</t>
  </si>
  <si>
    <t>아케이바이데스크오거나이저</t>
  </si>
  <si>
    <t>[Z]아케이바이데스크오거나이저(2B)</t>
  </si>
  <si>
    <t>아케이바이배수구거름망</t>
  </si>
  <si>
    <t>[Z]아케이바이배수구거름망(2B)</t>
  </si>
  <si>
    <t>[Z]아케이바이배수구거름망(3B)</t>
    <phoneticPr fontId="3" type="noConversion"/>
  </si>
  <si>
    <t>아케이바이배수구거름망(4B)</t>
    <phoneticPr fontId="3" type="noConversion"/>
  </si>
  <si>
    <t>아케이바이접이식베드트레이</t>
  </si>
  <si>
    <t>아케이바이미용가위세트</t>
  </si>
  <si>
    <t>[Z]아케이바이미용가위세트(2B)</t>
  </si>
  <si>
    <t>아케이바이고리행주</t>
    <phoneticPr fontId="3" type="noConversion"/>
  </si>
  <si>
    <t>[Z]아케이바이고리행주(2B)</t>
  </si>
  <si>
    <t>[Z]아케이바이고리행주(3B)</t>
    <phoneticPr fontId="3" type="noConversion"/>
  </si>
  <si>
    <t>아케이바이고리행주(4B)</t>
    <phoneticPr fontId="3" type="noConversion"/>
  </si>
  <si>
    <t>아케이바이접착식욕실선반</t>
    <phoneticPr fontId="3" type="noConversion"/>
  </si>
  <si>
    <t>[Z]아케이바이접착식욕실선반(2B)</t>
    <phoneticPr fontId="3" type="noConversion"/>
  </si>
  <si>
    <t>[Z]아케이바이접착식욕실선반(3B)</t>
    <phoneticPr fontId="3" type="noConversion"/>
  </si>
  <si>
    <t>아케이바이캠핑설거지통-20L</t>
  </si>
  <si>
    <t>[Z]아케이바이캠핑설거지통-20L(2B)</t>
    <phoneticPr fontId="3" type="noConversion"/>
  </si>
  <si>
    <t>아케이바이스포츠타올</t>
  </si>
  <si>
    <t>[Z]아케이바이스포츠타올(2B)</t>
    <phoneticPr fontId="3" type="noConversion"/>
  </si>
  <si>
    <t>아케이바이정밀드라이버세트</t>
  </si>
  <si>
    <t>[Z]아케이바이정밀드라이버세트(2B)</t>
    <phoneticPr fontId="3" type="noConversion"/>
  </si>
  <si>
    <t>아케이바이벽걸이형쓰레기통</t>
  </si>
  <si>
    <t>아케이바이칸막이속옷보관함</t>
  </si>
  <si>
    <t>[Z]아케이바이칸막이속옷보관함(2B)</t>
    <phoneticPr fontId="3" type="noConversion"/>
  </si>
  <si>
    <t>아케이바이다용도수납바구니</t>
  </si>
  <si>
    <t>[Z]아케이바이다용도수납바구니(2B)</t>
    <phoneticPr fontId="3" type="noConversion"/>
  </si>
  <si>
    <t>[Z]아케이바이다용도수납바구니(3B)</t>
    <phoneticPr fontId="3" type="noConversion"/>
  </si>
  <si>
    <t>아케이바이다용도수납바구니(4B)</t>
    <phoneticPr fontId="3" type="noConversion"/>
  </si>
  <si>
    <t>아케이바이데스크장패드</t>
    <phoneticPr fontId="3" type="noConversion"/>
  </si>
  <si>
    <t>아케이바이데스크장패드(2B)</t>
    <phoneticPr fontId="3" type="noConversion"/>
  </si>
  <si>
    <t>[Z]아케이바이데스크장패드(2B)</t>
    <phoneticPr fontId="3" type="noConversion"/>
  </si>
  <si>
    <t>아케이바이마그네틱도어스토퍼</t>
    <phoneticPr fontId="3" type="noConversion"/>
  </si>
  <si>
    <t>[Z]아케이바이마그네틱도어스토퍼(2B)</t>
    <phoneticPr fontId="3" type="noConversion"/>
  </si>
  <si>
    <t>[Z]아케이바이마그네틱도어스토퍼(3B)</t>
    <phoneticPr fontId="3" type="noConversion"/>
  </si>
  <si>
    <t>아케이바이식기건조롤매트</t>
    <phoneticPr fontId="3" type="noConversion"/>
  </si>
  <si>
    <t>[Z]아케이바이식기건조롤매트(2B)</t>
    <phoneticPr fontId="3" type="noConversion"/>
  </si>
  <si>
    <t>아케이바이실리콘볶음주걱</t>
  </si>
  <si>
    <t>[Z]아케이바이실리콘볶음주걱(2B)</t>
    <phoneticPr fontId="3" type="noConversion"/>
  </si>
  <si>
    <t>[Z]아케이바이실리콘볶음주걱(3B)</t>
    <phoneticPr fontId="3" type="noConversion"/>
  </si>
  <si>
    <t>아케이바이서랍정리함</t>
    <phoneticPr fontId="3" type="noConversion"/>
  </si>
  <si>
    <t>[Z]아케이바이서랍정리함(2B)</t>
    <phoneticPr fontId="3" type="noConversion"/>
  </si>
  <si>
    <t>아케이바이듀얼스탠드청소솔</t>
    <phoneticPr fontId="3" type="noConversion"/>
  </si>
  <si>
    <t>[Z]아케이바이듀얼스탠드청소솔(2B)</t>
    <phoneticPr fontId="3" type="noConversion"/>
  </si>
  <si>
    <t>[Z]아케이바이듀얼스탠드청소솔(3B)</t>
    <phoneticPr fontId="3" type="noConversion"/>
  </si>
  <si>
    <t>아케이바이듀얼스탠드청소솔(4B)</t>
    <phoneticPr fontId="3" type="noConversion"/>
  </si>
  <si>
    <t>아케이바이베이직스탠드행거</t>
    <phoneticPr fontId="3" type="noConversion"/>
  </si>
  <si>
    <t>아케이바이스테인리스칫솔꽂이</t>
    <phoneticPr fontId="3" type="noConversion"/>
  </si>
  <si>
    <t>[Z]아케이바이스테인리스칫솔꽂이(2B)</t>
    <phoneticPr fontId="3" type="noConversion"/>
  </si>
  <si>
    <t>아케이바이도마거치대</t>
    <phoneticPr fontId="3" type="noConversion"/>
  </si>
  <si>
    <t>[Z]아케이바이도마거치대(2B)</t>
    <phoneticPr fontId="3" type="noConversion"/>
  </si>
  <si>
    <t>아케이바이무지중목양말-흰색</t>
    <phoneticPr fontId="3" type="noConversion"/>
  </si>
  <si>
    <t>[Z]아케이바이무지중목양말-흰색(2B)</t>
    <phoneticPr fontId="3" type="noConversion"/>
  </si>
  <si>
    <t>[Z]아케이바이무지중목양말-흰색(3B)</t>
    <phoneticPr fontId="3" type="noConversion"/>
  </si>
  <si>
    <t>아케이바이3IN1텀블러세척솔</t>
    <phoneticPr fontId="3" type="noConversion"/>
  </si>
  <si>
    <t>아케이바이창틀청소부</t>
    <phoneticPr fontId="3" type="noConversion"/>
  </si>
  <si>
    <t>[Z]아케이바이창틀청소부(2B)</t>
  </si>
  <si>
    <t>[Z]아케이바이창틀청소부(3B)</t>
    <phoneticPr fontId="3" type="noConversion"/>
  </si>
  <si>
    <t>아케이바이자동양념통</t>
  </si>
  <si>
    <t>아케이바이로얄스탠딩주걱-베이지</t>
  </si>
  <si>
    <t>[Z]아케이바이로얄스탠딩주걱-베이지(2B)</t>
    <phoneticPr fontId="3" type="noConversion"/>
  </si>
  <si>
    <t>[Z]아케이바이로얄스탠딩주걱-베이지(3B)</t>
    <phoneticPr fontId="3" type="noConversion"/>
  </si>
  <si>
    <t>아케이바이로얄스탠딩주걱-블랙</t>
  </si>
  <si>
    <t>[Z]아케이바이로얄스탠딩주걱-블랙(2B)</t>
    <phoneticPr fontId="3" type="noConversion"/>
  </si>
  <si>
    <t>[Z]아케이바이로얄스탠딩주걱-블랙(3B)</t>
    <phoneticPr fontId="3" type="noConversion"/>
  </si>
  <si>
    <t>아케이바이벌레캐쳐</t>
  </si>
  <si>
    <t>심플리프욕실슬리퍼거치대</t>
    <phoneticPr fontId="3" type="noConversion"/>
  </si>
  <si>
    <t>아케이바이올스텐쌀세척볼</t>
  </si>
  <si>
    <t>[S]아케이바이올스텐쌀세척볼</t>
    <phoneticPr fontId="3" type="noConversion"/>
  </si>
  <si>
    <t>[Z]아케이바이올스텐쌀세척볼(2B)</t>
    <phoneticPr fontId="3" type="noConversion"/>
  </si>
  <si>
    <t>아케이바이프리미엄스탠딩주걱-화이트</t>
  </si>
  <si>
    <t>[Z]아케이바이프리미엄스탠딩주걱-화이트(2B)</t>
    <phoneticPr fontId="3" type="noConversion"/>
  </si>
  <si>
    <t>[Z]아케이바이프리미엄스탠딩주걱-화이트(3B)</t>
    <phoneticPr fontId="3" type="noConversion"/>
  </si>
  <si>
    <t>아케이바이베이직마스킹테이프</t>
  </si>
  <si>
    <t>[Z]아케이바이베이직마스킹테이프(2B)</t>
    <phoneticPr fontId="3" type="noConversion"/>
  </si>
  <si>
    <t>아케이바이가정용수동빙수기</t>
    <phoneticPr fontId="3" type="noConversion"/>
  </si>
  <si>
    <t>[Z]아케이바이가정용수동빙수기(2B)</t>
    <phoneticPr fontId="3" type="noConversion"/>
  </si>
  <si>
    <t>[Z]아케이바이가정용수동빙수기(3B)</t>
  </si>
  <si>
    <t>아케이바이키친타올걸이</t>
  </si>
  <si>
    <t>[Z]아케이바이키친타올걸이(2B)</t>
    <phoneticPr fontId="3" type="noConversion"/>
  </si>
  <si>
    <t>아케이바이낚시그립</t>
  </si>
  <si>
    <t>아케이바이손가락집게</t>
  </si>
  <si>
    <t>아케이바이메신저백</t>
  </si>
  <si>
    <t>아케이바이매직밀대</t>
  </si>
  <si>
    <t>아케이바이매직밀대(2B)</t>
    <phoneticPr fontId="3" type="noConversion"/>
  </si>
  <si>
    <t>아케이바이매직밀대(3B)</t>
    <phoneticPr fontId="3" type="noConversion"/>
  </si>
  <si>
    <t>아케이바이매직밀대(4B)</t>
    <phoneticPr fontId="3" type="noConversion"/>
  </si>
  <si>
    <t>아케이바이올인원먼지브러쉬세트</t>
    <phoneticPr fontId="3" type="noConversion"/>
  </si>
  <si>
    <t>[Z]아케이바이올인원먼지브러쉬세트(2B)</t>
    <phoneticPr fontId="3" type="noConversion"/>
  </si>
  <si>
    <t>[Z]아케이바이올인원먼지브러쉬세트(3B)</t>
    <phoneticPr fontId="3" type="noConversion"/>
  </si>
  <si>
    <t>아케이바이매직헤어브러쉬</t>
  </si>
  <si>
    <t>[Z]아케이바이매직헤어브러쉬(2B)</t>
    <phoneticPr fontId="3" type="noConversion"/>
  </si>
  <si>
    <t>아케이바이미니밀대걸레</t>
  </si>
  <si>
    <t>[Z]아케이바이미니밀대걸레(2B)</t>
    <phoneticPr fontId="3" type="noConversion"/>
  </si>
  <si>
    <t>[Z]아케이바이미니밀대걸레(3B)</t>
    <phoneticPr fontId="3" type="noConversion"/>
  </si>
  <si>
    <t>아케이바이미니밀대걸레(4B)</t>
    <phoneticPr fontId="3" type="noConversion"/>
  </si>
  <si>
    <t>아케이바이분리수거배접봉투</t>
  </si>
  <si>
    <t>[Z]아케이바이분리수거배접봉투(2B)</t>
  </si>
  <si>
    <t>아케이바이니트릴장갑</t>
  </si>
  <si>
    <t>[Z]아케이바이니트릴장갑(2B)</t>
  </si>
  <si>
    <t>아케이바이주방냄비집게</t>
    <phoneticPr fontId="3" type="noConversion"/>
  </si>
  <si>
    <t>[Z]아케이바이주방냄비집게(2B)</t>
    <phoneticPr fontId="3" type="noConversion"/>
  </si>
  <si>
    <t>[Z]아케이바이주방냄비집게(3B)</t>
    <phoneticPr fontId="3" type="noConversion"/>
  </si>
  <si>
    <t>아케이바이주방냄비집게(4B)</t>
    <phoneticPr fontId="3" type="noConversion"/>
  </si>
  <si>
    <t>아케이바이스마트폰핑거홀더</t>
  </si>
  <si>
    <t>아케이바이스테인리스파채칼</t>
  </si>
  <si>
    <t>[Z]아케이바이스테인리스파채칼(2B)</t>
    <phoneticPr fontId="3" type="noConversion"/>
  </si>
  <si>
    <t>[Z]아케이바이스테인리스파채칼(3B)</t>
    <phoneticPr fontId="3" type="noConversion"/>
  </si>
  <si>
    <t>아케이바이스테인리스매셔</t>
  </si>
  <si>
    <t>[Z]아케이바이스테인리스매셔(2B)</t>
    <phoneticPr fontId="3" type="noConversion"/>
  </si>
  <si>
    <t>[Z]아케이바이스테인리스매셔(3B)</t>
    <phoneticPr fontId="3" type="noConversion"/>
  </si>
  <si>
    <t>아케이바이길이조절수건걸이대</t>
  </si>
  <si>
    <t>아케이바이길이조절수건걸이대(2B)</t>
  </si>
  <si>
    <t>아케이바이길이조절수건걸이대(3B)</t>
    <phoneticPr fontId="3" type="noConversion"/>
  </si>
  <si>
    <t>아케이바이길이조절수건걸이대(4B)</t>
    <phoneticPr fontId="3" type="noConversion"/>
  </si>
  <si>
    <t>아케이바이베이직펜트리정리함</t>
  </si>
  <si>
    <t>[Z]아케이바이베이직펜트리정리함(2B)</t>
  </si>
  <si>
    <t>아케이바이눈금유리병-500ml</t>
    <phoneticPr fontId="3" type="noConversion"/>
  </si>
  <si>
    <t>[Z]아케이바이눈금유리병-500ml(2B)</t>
  </si>
  <si>
    <t>아케이바이이동식틈새수납장</t>
  </si>
  <si>
    <t>[Z]아케이바이이동식틈새수납장(2B)</t>
  </si>
  <si>
    <t>아케이바이스텐벽부착고리</t>
  </si>
  <si>
    <t>[Z]아케이바이스텐벽부착고리(2B)</t>
    <phoneticPr fontId="3" type="noConversion"/>
  </si>
  <si>
    <t>[Z]아케이바이스텐벽부착고리(3B)</t>
    <phoneticPr fontId="3" type="noConversion"/>
  </si>
  <si>
    <t>아케이바이스텐벽부착고리(4B)</t>
    <phoneticPr fontId="3" type="noConversion"/>
  </si>
  <si>
    <t>아케이바이낚시두레박</t>
  </si>
  <si>
    <t>[Z]아케이바이낚시두레박(2B)</t>
  </si>
  <si>
    <t>아케이바이욕실코너선반</t>
    <phoneticPr fontId="3" type="noConversion"/>
  </si>
  <si>
    <t>[Z]아케이바이욕실코너선반(2B)</t>
  </si>
  <si>
    <t>[Z]아케이바이욕실코너선반(3B)</t>
    <phoneticPr fontId="3" type="noConversion"/>
  </si>
  <si>
    <t>아케이바이슬림하이볼글라스</t>
    <phoneticPr fontId="3" type="noConversion"/>
  </si>
  <si>
    <t>[Z]아케이바이슬림하이볼글라스(2B)</t>
    <phoneticPr fontId="3" type="noConversion"/>
  </si>
  <si>
    <t>[Z]아케이바이슬림하이볼글라스(3B)</t>
    <phoneticPr fontId="3" type="noConversion"/>
  </si>
  <si>
    <t>아케이바이슬림하이볼글라스(4B)</t>
    <phoneticPr fontId="3" type="noConversion"/>
  </si>
  <si>
    <t>아케이바이허리베개</t>
    <phoneticPr fontId="3" type="noConversion"/>
  </si>
  <si>
    <t>아케이바이베이직슈즈랙</t>
    <phoneticPr fontId="3" type="noConversion"/>
  </si>
  <si>
    <t>[Z]아케이바이베이직슈즈랙(2B)</t>
    <phoneticPr fontId="3" type="noConversion"/>
  </si>
  <si>
    <t>아케이바이손잡이수세미</t>
  </si>
  <si>
    <t>아케이바이페이스커버마스크</t>
  </si>
  <si>
    <t>[Z]아케이바이페이스커버마스크(2B)</t>
    <phoneticPr fontId="3" type="noConversion"/>
  </si>
  <si>
    <t>아케이바이샤워기거치선반</t>
  </si>
  <si>
    <t>[Z]아케이바이샤워기거치선반(2B)</t>
    <phoneticPr fontId="3" type="noConversion"/>
  </si>
  <si>
    <t>[Z]아케이바이샤워기거치선반(3B)</t>
    <phoneticPr fontId="3" type="noConversion"/>
  </si>
  <si>
    <t>아케이바이샤워기거치선반(4B)</t>
    <phoneticPr fontId="3" type="noConversion"/>
  </si>
  <si>
    <t>아케이바이마스터만능가위</t>
  </si>
  <si>
    <t>아케이바이마스터만능가위-올스텐</t>
  </si>
  <si>
    <t>[Z]아케이바이마스터만능가위(2B)</t>
    <phoneticPr fontId="3" type="noConversion"/>
  </si>
  <si>
    <t>[Z]아케이바이마스터만능가위(3B)</t>
    <phoneticPr fontId="3" type="noConversion"/>
  </si>
  <si>
    <t>아케이바이다용도주방집게</t>
  </si>
  <si>
    <t>아케이바이극세사드라이헤어타올</t>
  </si>
  <si>
    <t>아케이바이극세사드라이헤어타올(2B)</t>
  </si>
  <si>
    <t>아케이바이노터치빨리마르는헤어타올</t>
  </si>
  <si>
    <t>아케이바이노터치빨리마르는헤어타올(2B)</t>
  </si>
  <si>
    <t>아케이바이노터치빨리마르는헤어타올(3B)</t>
  </si>
  <si>
    <t>아케이바이노터치빨리마르는헤어타올(4B)</t>
  </si>
  <si>
    <t>아케이바이스티커제거기</t>
  </si>
  <si>
    <t>[Z]아케이바이스티커제거기(2B)</t>
  </si>
  <si>
    <t>[Z]아케이바이스티커제거기(3B)</t>
    <phoneticPr fontId="3" type="noConversion"/>
  </si>
  <si>
    <t>아케이바이음료수캔따개</t>
    <phoneticPr fontId="3" type="noConversion"/>
  </si>
  <si>
    <t>아케이바이올인원창문닦이</t>
  </si>
  <si>
    <t>아케이바이입는목욕타월</t>
  </si>
  <si>
    <t>아케이바이마그네틱후크</t>
  </si>
  <si>
    <t>아케이바이껍질정리필러</t>
    <phoneticPr fontId="3" type="noConversion"/>
  </si>
  <si>
    <t>아케이바이슬라이딩소품걸이</t>
    <phoneticPr fontId="3" type="noConversion"/>
  </si>
  <si>
    <t>아케이바이회전청소브러쉬</t>
    <phoneticPr fontId="3" type="noConversion"/>
  </si>
  <si>
    <t>아케이바이컴포트심리스브라-L</t>
  </si>
  <si>
    <t>[Z]아케이바이컴포트심리스브라-L(2B)</t>
  </si>
  <si>
    <t>아케이바이컴포트심리스브라-M</t>
  </si>
  <si>
    <t>[Z]아케이바이컴포트심리스브라-M(2B)</t>
  </si>
  <si>
    <t>아케이바이컴포트심리스브라-S</t>
  </si>
  <si>
    <t>[Z]아케이바이컴포트심리스브라-S(2B)</t>
  </si>
  <si>
    <t>아케이바이컴포트심리스브라-XL</t>
  </si>
  <si>
    <t>[Z]아케이바이컴포트심리스브라-XL(2B)</t>
  </si>
  <si>
    <t>아케이바이차량용접이식쓰레기통</t>
  </si>
  <si>
    <t>아케이바이후드득때장갑</t>
  </si>
  <si>
    <t>아케이바이아치형다용도가방걸이</t>
  </si>
  <si>
    <t>아케이바이공중부양수세미거치대</t>
  </si>
  <si>
    <t>[Z]아케이바이공중부양수세미거치대(2B)</t>
  </si>
  <si>
    <t>[Z]아케이바이공중부양수세미거치대(3B)</t>
    <phoneticPr fontId="3" type="noConversion"/>
  </si>
  <si>
    <t>아케이바이공중부양수세미거치대(4B)</t>
    <phoneticPr fontId="3" type="noConversion"/>
  </si>
  <si>
    <t>아케이바이자동차극세사프리미엄세차타올</t>
    <phoneticPr fontId="3" type="noConversion"/>
  </si>
  <si>
    <t>[Z]아케이바이자동차극세사프리미엄세차타올(2B)</t>
    <phoneticPr fontId="3" type="noConversion"/>
  </si>
  <si>
    <t>[Z]아케이바이자동차극세사프리미엄세차타올(3B)</t>
    <phoneticPr fontId="3" type="noConversion"/>
  </si>
  <si>
    <t>아케이바이자동차극세사프리미엄세차타올(4B)</t>
  </si>
  <si>
    <t>아케이바이길이조절이불건조대</t>
  </si>
  <si>
    <t>아케이바이스포츠러닝백</t>
  </si>
  <si>
    <t>아케이바이스포츠러닝백(2B)</t>
  </si>
  <si>
    <t>[Z]아케이바이스포츠러닝백(3B)</t>
    <phoneticPr fontId="3" type="noConversion"/>
  </si>
  <si>
    <t>아케이바이스포츠러닝백(4B)</t>
    <phoneticPr fontId="3" type="noConversion"/>
  </si>
  <si>
    <t>아케이바이압력샤워기헤드</t>
  </si>
  <si>
    <t>아케이바이컴포트종아리압박밴드</t>
  </si>
  <si>
    <t>[Z]아케이바이컴포트종아리압박밴드(2B)</t>
    <phoneticPr fontId="3" type="noConversion"/>
  </si>
  <si>
    <t>아케이바이자동화장솜보관함</t>
  </si>
  <si>
    <t>아케이바이와이퍼홀보호패드</t>
  </si>
  <si>
    <t>[Z]아케이바이와이퍼홀보호패드(2B)</t>
  </si>
  <si>
    <t>[Z]아케이바이와이퍼홀보호패드(3B)</t>
    <phoneticPr fontId="3" type="noConversion"/>
  </si>
  <si>
    <t>아케이바이휴대용롤클리너</t>
  </si>
  <si>
    <t>아케이바이휴대용빨래건조대</t>
  </si>
  <si>
    <t>[Z]아케이바이휴대용빨래건조대(2B)</t>
    <phoneticPr fontId="3" type="noConversion"/>
  </si>
  <si>
    <t>아케이바이물기흡수스펀지</t>
  </si>
  <si>
    <t>아케이바이컴포트복부보정팬티</t>
  </si>
  <si>
    <t>[Z]아케이바이컴포트복부보정팬티(2B)</t>
  </si>
  <si>
    <t>[Z]아케이바이컴포트복부보정팬티(3B)</t>
    <phoneticPr fontId="3" type="noConversion"/>
  </si>
  <si>
    <t>아케이바이길이조절선반걸이</t>
  </si>
  <si>
    <t>[Z]아케이바이길이조절선반걸이(2B)</t>
  </si>
  <si>
    <t>[Z]아케이바이길이조절선반걸이(3B)</t>
    <phoneticPr fontId="3" type="noConversion"/>
  </si>
  <si>
    <t>아케이바이올스텐냄비청소솔</t>
  </si>
  <si>
    <t>[Z]아케이바이올스텐냄비청소솔(2B)</t>
  </si>
  <si>
    <t>[Z]아케이바이올스텐냄비청소솔(3B)</t>
    <phoneticPr fontId="3" type="noConversion"/>
  </si>
  <si>
    <t>아케이바이주걱수납함</t>
  </si>
  <si>
    <t>아케이바이흡착샤워기걸이</t>
    <phoneticPr fontId="3" type="noConversion"/>
  </si>
  <si>
    <t>[Z]아케이바이흡착샤워기걸이(2B)</t>
    <phoneticPr fontId="3" type="noConversion"/>
  </si>
  <si>
    <t>[Z]아케이바이흡착샤워기걸이(3B)</t>
    <phoneticPr fontId="3" type="noConversion"/>
  </si>
  <si>
    <t>아케이바이앰플흡착컵</t>
  </si>
  <si>
    <t>[Z]아케이바이앰플흡착컵(2B)</t>
    <phoneticPr fontId="3" type="noConversion"/>
  </si>
  <si>
    <t>아케이바이자석수납거치대</t>
  </si>
  <si>
    <t>아케이바이노버클탄성벨트</t>
  </si>
  <si>
    <t>[Z]아케이바이노버클탄성벨트(2B)</t>
  </si>
  <si>
    <t>[Z]아케이바이노버클탄성벨트(3B)</t>
    <phoneticPr fontId="3" type="noConversion"/>
  </si>
  <si>
    <t>아케이바이나이프논스틱패드</t>
    <phoneticPr fontId="3" type="noConversion"/>
  </si>
  <si>
    <t>[Z]아케이바이나이프논스틱패드(2B)</t>
    <phoneticPr fontId="3" type="noConversion"/>
  </si>
  <si>
    <t>[Z]아케이바이나이프논스틱패드(3B)</t>
    <phoneticPr fontId="3" type="noConversion"/>
  </si>
  <si>
    <t>아케이바이다용도우드옷걸이</t>
  </si>
  <si>
    <t>[Z]아케이바이다용도우드옷걸이(2B)</t>
  </si>
  <si>
    <t>[Z]아케이바이다용도우드옷걸이(3B)</t>
    <phoneticPr fontId="3" type="noConversion"/>
  </si>
  <si>
    <t>아케이바이다용도우드옷걸이(4B)</t>
    <phoneticPr fontId="3" type="noConversion"/>
  </si>
  <si>
    <t>아케이바이부착식속옷보관함</t>
  </si>
  <si>
    <t>아케이바이옥수수홀더</t>
  </si>
  <si>
    <t>아케이바이무타공비누보관함</t>
    <phoneticPr fontId="3" type="noConversion"/>
  </si>
  <si>
    <t>[Z]아케이바이무타공비누보관함(2B)</t>
  </si>
  <si>
    <t>[Z]아케이바이무타공비누보관함(3B)</t>
    <phoneticPr fontId="3" type="noConversion"/>
  </si>
  <si>
    <t>아케이바이러닝암밴드</t>
    <phoneticPr fontId="3" type="noConversion"/>
  </si>
  <si>
    <t>푸러블올인원이염방지시트</t>
    <phoneticPr fontId="3" type="noConversion"/>
  </si>
  <si>
    <t>푸러블올인원이염방지시트(2B)</t>
    <phoneticPr fontId="3" type="noConversion"/>
  </si>
  <si>
    <t>푸러블올인원이염방지시트(3B)</t>
    <phoneticPr fontId="3" type="noConversion"/>
  </si>
  <si>
    <t>푸러블올인원이염방지시트(4B)</t>
    <phoneticPr fontId="3" type="noConversion"/>
  </si>
  <si>
    <t>아케이바이병따개슈팅건</t>
  </si>
  <si>
    <t>아케이바이핸드샤워볼</t>
  </si>
  <si>
    <t>아케이바이무타공양념통선반</t>
  </si>
  <si>
    <t>아케이바이다용도행주걸이</t>
  </si>
  <si>
    <t>[Z]아케이바이다용도행주걸이(2B)</t>
  </si>
  <si>
    <t>[Z]아케이바이다용도행주걸이(3B)</t>
    <phoneticPr fontId="3" type="noConversion"/>
  </si>
  <si>
    <t>아케이바이밀봉스트랩</t>
  </si>
  <si>
    <t>[Z]아케이바이밀봉스트랩(2B)</t>
  </si>
  <si>
    <t>[Z]아케이바이밀봉스트랩(3B)</t>
    <phoneticPr fontId="3" type="noConversion"/>
  </si>
  <si>
    <t>아케이바이밀봉스트랩(4B)</t>
    <phoneticPr fontId="3" type="noConversion"/>
  </si>
  <si>
    <t>아케이바이브래지어속옷세탁망</t>
    <phoneticPr fontId="3" type="noConversion"/>
  </si>
  <si>
    <t>아케이바이헤어볼륨클립</t>
  </si>
  <si>
    <t>[Z]아케이바이헤어볼륨클립(2B)</t>
  </si>
  <si>
    <t>아케이바이스마트폰핑거그립</t>
  </si>
  <si>
    <t>아케이바이접이식스텐튀김망</t>
  </si>
  <si>
    <t>[Z]아케이바이접이식스텐튀김망(2B)</t>
  </si>
  <si>
    <t>[Z]아케이바이접이식스텐튀김망(3B)</t>
    <phoneticPr fontId="3" type="noConversion"/>
  </si>
  <si>
    <t>[S]아케이바이체인마그네틱단추</t>
    <phoneticPr fontId="3" type="noConversion"/>
  </si>
  <si>
    <t>아케이바이체인마그네틱단추</t>
  </si>
  <si>
    <t>[Z]아케이바이체인마그네틱단추(2B)</t>
  </si>
  <si>
    <t>[Z]아케이바이체인마그네틱단추(3B)</t>
    <phoneticPr fontId="3" type="noConversion"/>
  </si>
  <si>
    <t>아케이바이길이조절옷걸이</t>
  </si>
  <si>
    <t>아케이바이두피케어빗</t>
  </si>
  <si>
    <t>[S]아케이바이멀티뚜껑따개</t>
  </si>
  <si>
    <t>아케이바이멀티뚜껑따개</t>
  </si>
  <si>
    <t>[Z]아케이바이멀티뚜껑따개(2B)</t>
  </si>
  <si>
    <t>[Z]아케이바이멀티뚜껑따개(3B)</t>
    <phoneticPr fontId="3" type="noConversion"/>
  </si>
  <si>
    <t>아케이바이멀티뚜껑따개(4B)</t>
    <phoneticPr fontId="3" type="noConversion"/>
  </si>
  <si>
    <t>아케이바이선반걸이형바구니</t>
  </si>
  <si>
    <t>아케이바이세면대마개</t>
  </si>
  <si>
    <t>아케이바이흡착양말건조대</t>
  </si>
  <si>
    <t>아케이바이길이조절수세미거치대</t>
  </si>
  <si>
    <t>아케이바이젤리클리너</t>
  </si>
  <si>
    <t>아케이바이노스크래치수세미</t>
  </si>
  <si>
    <t>[Z]아케이바이노스크래치수세미(2B)</t>
  </si>
  <si>
    <t>[Z]아케이바이노스크래치수세미(3B)</t>
    <phoneticPr fontId="3" type="noConversion"/>
  </si>
  <si>
    <t>아케이바이노스크래치수세미-RD</t>
  </si>
  <si>
    <t>[Z]아케이바이노스크래치수세미-RD(2B)</t>
    <phoneticPr fontId="3" type="noConversion"/>
  </si>
  <si>
    <t>[Z]아케이바이노스크래치수세미-RD(3B)</t>
    <phoneticPr fontId="3" type="noConversion"/>
  </si>
  <si>
    <t>아케이바이냄새방지배수구트랩</t>
  </si>
  <si>
    <t>[Z]아케이바이냄새방지배수구트랩(2B)</t>
  </si>
  <si>
    <t>[Z]아케이바이냄새방지배수구트랩(3B)</t>
    <phoneticPr fontId="3" type="noConversion"/>
  </si>
  <si>
    <t>아케이바이초미세기름거름망</t>
  </si>
  <si>
    <t>[S]아케이바이초미세기름거름망</t>
  </si>
  <si>
    <t>[Z]아케이바이초미세기름거름망(2B)</t>
  </si>
  <si>
    <t>[Z]아케이바이초미세기름거름망(3B)</t>
    <phoneticPr fontId="3" type="noConversion"/>
  </si>
  <si>
    <t>아케이바이뚝딱엄지칼</t>
  </si>
  <si>
    <t>아케이바이기름제거국자</t>
  </si>
  <si>
    <t>아케이바이벽걸이밀대걸레거치대</t>
  </si>
  <si>
    <t>[Z]아케이바이벽걸이밀대걸레거치대(2B)</t>
  </si>
  <si>
    <t>[Z]아케이바이벽걸이밀대걸레거치대(3B)</t>
  </si>
  <si>
    <t>아케이바이벽걸이밀대걸레거치대(4B)</t>
    <phoneticPr fontId="3" type="noConversion"/>
  </si>
  <si>
    <t>아케이바이변기청소솔</t>
  </si>
  <si>
    <t>아케이바이캐리어연결스트랩</t>
  </si>
  <si>
    <t>아케이바이마그넷택배칼</t>
  </si>
  <si>
    <t>아케이바이오일튜브브러쉬</t>
  </si>
  <si>
    <t>아케이바이겨울용풀커버마스크</t>
  </si>
  <si>
    <t>아케이바이자동차겨울용핸들커버</t>
  </si>
  <si>
    <t>아케이바이접이식부츠지지대</t>
  </si>
  <si>
    <t>아케이바이바지고무줄끼우개</t>
  </si>
  <si>
    <t>[Z]아케이바이바지고무줄끼우개(2B)</t>
    <phoneticPr fontId="3" type="noConversion"/>
  </si>
  <si>
    <t>[Z]아케이바이바지고무줄끼우개(3B)</t>
    <phoneticPr fontId="3" type="noConversion"/>
  </si>
  <si>
    <t>아케이바이휴대용에어목베개</t>
  </si>
  <si>
    <t>[Z]아케이바이휴대용에어목베개(2B)</t>
  </si>
  <si>
    <t>[Z]아케이바이휴대용에어목베개(3B)</t>
    <phoneticPr fontId="3" type="noConversion"/>
  </si>
  <si>
    <t>아케이바이다용도방수가방</t>
  </si>
  <si>
    <t>[Z]아케이바이다용도방수가방(2B)</t>
  </si>
  <si>
    <t>[Z]아케이바이다용도방수가방(3B)</t>
    <phoneticPr fontId="3" type="noConversion"/>
  </si>
  <si>
    <t>아케아바이접이식빨래바구니</t>
  </si>
  <si>
    <t>아케이바이실리콘발커버</t>
  </si>
  <si>
    <t>[Z]아케이바이실리콘발커버(2B)</t>
    <phoneticPr fontId="3" type="noConversion"/>
  </si>
  <si>
    <t>아케이바이수세미장갑</t>
  </si>
  <si>
    <t>아케이바이케이블정리홀더</t>
    <phoneticPr fontId="3" type="noConversion"/>
  </si>
  <si>
    <t>아케이바이옷걸이연결고리</t>
    <phoneticPr fontId="3" type="noConversion"/>
  </si>
  <si>
    <t>아케이바이직각어깨패드</t>
    <phoneticPr fontId="3" type="noConversion"/>
  </si>
  <si>
    <t>푸러블스크럽베어</t>
  </si>
  <si>
    <t>푸러블스크럽베어(2B)</t>
  </si>
  <si>
    <t>아케이바이투인원멀티나이프</t>
  </si>
  <si>
    <t>[Z]아케이바이투인원멀티나이프(2B)</t>
  </si>
  <si>
    <t>[Z]아케이바이투인원멀티나이프(3B)</t>
    <phoneticPr fontId="3" type="noConversion"/>
  </si>
  <si>
    <t>아케이바이실리콘자석냄비받침</t>
  </si>
  <si>
    <t>아케이바이싱크대도어보관함</t>
    <phoneticPr fontId="3" type="noConversion"/>
  </si>
  <si>
    <t>[Z]아케이바이싱크대도어보관함(2B)</t>
  </si>
  <si>
    <t>[Z]아케이바이싱크대도어보관함(3B)</t>
    <phoneticPr fontId="3" type="noConversion"/>
  </si>
  <si>
    <t>아케이바이커텐고정자석</t>
  </si>
  <si>
    <t>아케이바이360도파채슬라이서</t>
  </si>
  <si>
    <t>아케이바이실리콘언더아이밴드</t>
  </si>
  <si>
    <t>아케이바이기름튐방지덮개</t>
  </si>
  <si>
    <t>[Z]아케이바이기름튐방지덮개(2B)</t>
    <phoneticPr fontId="3" type="noConversion"/>
  </si>
  <si>
    <t>[Z]아케이바이기름튐방지덮개(3B)</t>
  </si>
  <si>
    <t>아케이바이자석칼거치대</t>
  </si>
  <si>
    <t>아케이바이과일심제거기</t>
  </si>
  <si>
    <t>[Z]아케이바이과일심제거기(2B)</t>
    <phoneticPr fontId="3" type="noConversion"/>
  </si>
  <si>
    <t>[Z]아케이바이과일심제거기(3B)</t>
    <phoneticPr fontId="3" type="noConversion"/>
  </si>
  <si>
    <t>아케이바이스테인리스양면도마</t>
  </si>
  <si>
    <t>아케이바이셀프지퍼손잡이</t>
  </si>
  <si>
    <t>아케이바이베개건조대</t>
  </si>
  <si>
    <t>아케이바이링옷걸이</t>
  </si>
  <si>
    <t>[Z]아케이바이링옷걸이(2B)</t>
    <phoneticPr fontId="3" type="noConversion"/>
  </si>
  <si>
    <t>[Z]아케이바이링옷걸이(3B)</t>
    <phoneticPr fontId="3" type="noConversion"/>
  </si>
  <si>
    <t>아케이바이물먹는요술행주</t>
  </si>
  <si>
    <t>아케이바이실리콘조리도구받침대</t>
  </si>
  <si>
    <t>[Z]아케이바이실리콘조리도구받침대(2B)</t>
    <phoneticPr fontId="3" type="noConversion"/>
  </si>
  <si>
    <t>[Z]아케이바이실리콘조리도구받침대(3B)</t>
    <phoneticPr fontId="3" type="noConversion"/>
  </si>
  <si>
    <t>아케이바이올인원세척솔</t>
  </si>
  <si>
    <t>아케이바이실리콘티슈케이스</t>
  </si>
  <si>
    <t>아케이바이신발건조걸이</t>
  </si>
  <si>
    <t>아케이바이이불보관밴드</t>
  </si>
  <si>
    <t>푸러블여행용압축팩-중대형</t>
  </si>
  <si>
    <t>푸러블여행용압축팩-중대형(2B)</t>
  </si>
  <si>
    <t>아케이바이원스텝봉투교환쓰레기통</t>
  </si>
  <si>
    <t>아케이바이스카프링고리홀더</t>
  </si>
  <si>
    <t>아케이바이휴대용탁구세트</t>
  </si>
  <si>
    <t>[Z]아케이바이휴대용탁구세트(2B)</t>
  </si>
  <si>
    <t>[Z]아케이바이휴대용탁구세트(3B)</t>
  </si>
  <si>
    <t>아케이바이휴대용미니돌돌이</t>
  </si>
  <si>
    <t>[Z]아케이바이휴대용미니돌돌이(2B)</t>
  </si>
  <si>
    <t>[Z]아케이바이휴대용미니돌돌이(3B)</t>
  </si>
  <si>
    <t>아케이바이휴대용미니돌돌이(4B)</t>
    <phoneticPr fontId="3" type="noConversion"/>
  </si>
  <si>
    <t>아케이바이자동개폐스마트병뚜껑</t>
  </si>
  <si>
    <t>아케이바이진공지퍼백압축펌프세트</t>
  </si>
  <si>
    <t>아케이바이앞머리가발-내추럴블랙</t>
  </si>
  <si>
    <t>[Z]아케이바이앞머리가발-내추럴블랙(2B)</t>
  </si>
  <si>
    <t>[Z]아케이바이앞머리가발-내추럴블랙(3B)</t>
  </si>
  <si>
    <t>[Z]아케이바이앞머리가발-내추럴블랙(4B)</t>
  </si>
  <si>
    <t>아케이바이앞머리가발-미디엄브라운</t>
  </si>
  <si>
    <t>[Z]아케이바이앞머리가발-미디엄브라운(2B)</t>
  </si>
  <si>
    <t>[Z]아케이바이앞머리가발-미디엄브라운(3B)</t>
  </si>
  <si>
    <t>[Z]아케이바이앞머리가발-미디엄브라운(4B)</t>
  </si>
  <si>
    <t>아케이바이에그펀칭기</t>
  </si>
  <si>
    <t>[Z]아케이바이에그펀칭기(2B)</t>
  </si>
  <si>
    <t>[Z]아케이바이에그펀칭기(3B)</t>
  </si>
  <si>
    <t>[Z]아케이바이에그펀칭기(4B)</t>
  </si>
  <si>
    <t>포르만차량용세차압축분무기</t>
  </si>
  <si>
    <t>아케이모터차량용고압압축분무기</t>
  </si>
  <si>
    <t>심플리프마스카라가이드</t>
  </si>
  <si>
    <t>심플리프프로페셔널아이라이너브러쉬</t>
    <phoneticPr fontId="3" type="noConversion"/>
  </si>
  <si>
    <t>심플리프듀얼헤드실리콘팩브러쉬</t>
  </si>
  <si>
    <t>푸러블아토세탁조클리너</t>
    <phoneticPr fontId="3" type="noConversion"/>
  </si>
  <si>
    <t>심플리프무타공치약걸이</t>
  </si>
  <si>
    <t>심플리프올스텐타공국자</t>
  </si>
  <si>
    <t>심플리프구두미끄럼방지스티커</t>
  </si>
  <si>
    <t>심플리프실리콘립브러쉬</t>
  </si>
  <si>
    <t>심플리프논슬립1단집게옷걸이</t>
  </si>
  <si>
    <t>심플리프실리콘배수패드</t>
  </si>
  <si>
    <t>심플리프마그네틱케이블홀더</t>
  </si>
  <si>
    <t>심플리프마그넷파우치</t>
    <phoneticPr fontId="3" type="noConversion"/>
  </si>
  <si>
    <t>심플리프슬라이딩계란보관함</t>
    <phoneticPr fontId="3" type="noConversion"/>
  </si>
  <si>
    <t>심플리프무타공화장실변기선반</t>
  </si>
  <si>
    <t>푸러블고농축캡슐세제-플라워향</t>
  </si>
  <si>
    <t>심플리프원터치세제일체형수세미</t>
  </si>
  <si>
    <t>심플리프원터치면봉수납함</t>
  </si>
  <si>
    <t>심플리프디퓨저우드</t>
  </si>
  <si>
    <t>심플리프캐리어바퀴커버</t>
  </si>
  <si>
    <t>심플리프회오리옷걸이</t>
  </si>
  <si>
    <t>심플리프쌀세척솔</t>
  </si>
  <si>
    <t>심플리프실리콘반죽주머니</t>
  </si>
  <si>
    <t>심플리프회전후크헹거</t>
  </si>
  <si>
    <t>심플리프압축세안스펀지</t>
  </si>
  <si>
    <t>심플리프모기향거치대</t>
  </si>
  <si>
    <t>심플리프말랑치약캡</t>
  </si>
  <si>
    <t>심플리프흡착식샤워홀더</t>
  </si>
  <si>
    <t>심플리프욕실스마트폰거치대</t>
  </si>
  <si>
    <t>심플리프음식물스크래퍼</t>
  </si>
  <si>
    <t>심플리프올인원브러쉬건조함</t>
    <phoneticPr fontId="3" type="noConversion"/>
  </si>
  <si>
    <t>아케이바이전동브러쉬</t>
  </si>
  <si>
    <t>심플리프데일리캡슐보틀</t>
  </si>
  <si>
    <t>심플리프올스텐스푼빨대세척솔세트</t>
  </si>
  <si>
    <t>심플리프선글라스보관키링</t>
  </si>
  <si>
    <t>심플리프신발세탁주머니</t>
  </si>
  <si>
    <t>심플리프주전자믹서기</t>
  </si>
  <si>
    <t>심플리프이중아이스컵</t>
    <phoneticPr fontId="3" type="noConversion"/>
  </si>
  <si>
    <t>심플리프채소물빠짐세척용기</t>
  </si>
  <si>
    <t>심플리프고리자석</t>
  </si>
  <si>
    <t>심플리프헤어스타일러보관함</t>
  </si>
  <si>
    <t>심플리프쓱싹먼지패드</t>
  </si>
  <si>
    <t>심플리프샐러드과일도시락컵</t>
  </si>
  <si>
    <t>심플리프백조스탠딩국자</t>
  </si>
  <si>
    <t>심플리프실리콘만능뚜껑</t>
  </si>
  <si>
    <t>심플리프무타공다용도부착후크</t>
  </si>
  <si>
    <t>심플리프미니쿠션퍼프</t>
  </si>
  <si>
    <t>심플리프접이식먼지떨이</t>
  </si>
  <si>
    <t>심플리프손잡이앞접시</t>
  </si>
  <si>
    <t>아케이바이텀블러블렌더</t>
  </si>
  <si>
    <t>아케이바이텀블러블렌더(2B)</t>
    <phoneticPr fontId="3" type="noConversion"/>
  </si>
  <si>
    <t>심플리프반려동물원터치브러쉬</t>
  </si>
  <si>
    <t>심플리프스프링클립키링</t>
  </si>
  <si>
    <t>심플리프마스크팩고정커버</t>
  </si>
  <si>
    <t>심플리프휴대용빨래집게걸이</t>
  </si>
  <si>
    <t>심플리프차량용선글라스클립</t>
  </si>
  <si>
    <t>심플리프자동차시트틈새포켓</t>
    <phoneticPr fontId="3" type="noConversion"/>
  </si>
  <si>
    <t>심플리프햇빛차단망또모자</t>
    <phoneticPr fontId="3" type="noConversion"/>
  </si>
  <si>
    <t>심플리프다용도부착손잡이</t>
  </si>
  <si>
    <t>심플리프세안팔찌</t>
    <phoneticPr fontId="3" type="noConversion"/>
  </si>
  <si>
    <t>심플리프다용도포켓앞치마</t>
  </si>
  <si>
    <t>심플리프휘어지는청소브러쉬</t>
  </si>
  <si>
    <t>심플리프무타공행주걸이</t>
  </si>
  <si>
    <t>심플리프안경미끄러짐방지링</t>
  </si>
  <si>
    <t>심플리프타이어돌제거기</t>
  </si>
  <si>
    <t>심플리프원터치물병세척솔</t>
  </si>
  <si>
    <t>심플리프진공밀폐마개</t>
  </si>
  <si>
    <t>심플리프초미니양산</t>
    <phoneticPr fontId="3" type="noConversion"/>
  </si>
  <si>
    <t>심플리프데일리샐러드컵</t>
  </si>
  <si>
    <t>심플리프슬라이딩스푼</t>
  </si>
  <si>
    <t>심플리프투인원샤워볼</t>
  </si>
  <si>
    <t>심플리프실리콘접이식채반</t>
  </si>
  <si>
    <t>심플리프접이식바구니</t>
  </si>
  <si>
    <t>심플리프키보드청소솔</t>
  </si>
  <si>
    <t>심플리프박스커터</t>
    <phoneticPr fontId="3" type="noConversion"/>
  </si>
  <si>
    <t>심플리프침대수납가방</t>
  </si>
  <si>
    <t>심플리프미니파우치휴대폰스트랩</t>
  </si>
  <si>
    <t>심플리프뒷꿈치깔창</t>
  </si>
  <si>
    <t>심플리프대용량수납바구니</t>
  </si>
  <si>
    <t>심플리프러닝조끼</t>
  </si>
  <si>
    <t>심플리프올인원자외선차단자켓</t>
  </si>
  <si>
    <t>심플리프파스타보관통</t>
  </si>
  <si>
    <t>심플리프안경닦이집게</t>
  </si>
  <si>
    <t>심플리프요석제거스틱</t>
  </si>
  <si>
    <t>심플리프자동차후크</t>
  </si>
  <si>
    <t>심플리프차량용차양우산</t>
  </si>
  <si>
    <t>심플리프가스레인지인덕션덮개</t>
  </si>
  <si>
    <t>심플리프도마가위</t>
  </si>
  <si>
    <t>심플리프에어컨직풍방지막이</t>
  </si>
  <si>
    <t>심플리프탄자국제거스펀지</t>
  </si>
  <si>
    <t>심플리프3in1수세미</t>
  </si>
  <si>
    <t>심플리프캐리어스트랩</t>
  </si>
  <si>
    <t>심플리프스프링밀봉클립</t>
  </si>
  <si>
    <t>심플리프옷카라고정패드</t>
  </si>
  <si>
    <t>심플리프멀티쇼핑백홀더</t>
  </si>
  <si>
    <t>심플리프라면보관함</t>
  </si>
  <si>
    <t>심플리프접이식텀블러</t>
  </si>
  <si>
    <t>심플리프3면칫솔</t>
  </si>
  <si>
    <t>심플리프키링투명보관함</t>
  </si>
  <si>
    <t>심플리프침구고정홀더</t>
  </si>
  <si>
    <t>심플리프뚜껑없는텀블러</t>
  </si>
  <si>
    <t>심플리프비닐얼음트레이</t>
  </si>
  <si>
    <t>심플리프아이스괄사롤러</t>
  </si>
  <si>
    <t>심플리프수도꼭지연장기</t>
  </si>
  <si>
    <t>심플리프뿌리볼륨집게빗</t>
    <phoneticPr fontId="3" type="noConversion"/>
  </si>
  <si>
    <t>심플리프손잡이채반</t>
  </si>
  <si>
    <t>심플리프여행용수납백</t>
    <phoneticPr fontId="3" type="noConversion"/>
  </si>
  <si>
    <t>심플리프오뚝이주걱</t>
  </si>
  <si>
    <t>심플리프비누캡바디스펀지</t>
  </si>
  <si>
    <t>심플리프실리콘아이메이크업가이드</t>
  </si>
  <si>
    <t>심플리프페트병물뿌리개헤드</t>
  </si>
  <si>
    <t>심플리프얼룩방지베개커버</t>
  </si>
  <si>
    <t>심플리프스티커스크래퍼</t>
  </si>
  <si>
    <t>심플리프밀림방지스냅스티커</t>
  </si>
  <si>
    <t>심플리프만능비누거품기</t>
  </si>
  <si>
    <t>심플리프꽃잎자석밀봉클립</t>
  </si>
  <si>
    <t>심플리프말랑헤어집게핀</t>
    <phoneticPr fontId="3" type="noConversion"/>
  </si>
  <si>
    <t>심플리프실리콘음식덮개</t>
    <phoneticPr fontId="3" type="noConversion"/>
  </si>
  <si>
    <t>심플리프피트니스팜가드</t>
  </si>
  <si>
    <t>심플리프싱크대원터치거름망</t>
  </si>
  <si>
    <t>심플리프밸크로케이블타이</t>
  </si>
  <si>
    <t>심플리프투명책꽃병</t>
  </si>
  <si>
    <t>심플리프차량용야간반사스티커</t>
    <phoneticPr fontId="3" type="noConversion"/>
  </si>
  <si>
    <t>심플리프안아픈접이식머리띠</t>
    <phoneticPr fontId="3" type="noConversion"/>
  </si>
  <si>
    <t>심플리프화장품소분파우치</t>
    <phoneticPr fontId="3" type="noConversion"/>
  </si>
  <si>
    <t>심플리프차량용다용도바스켓</t>
  </si>
  <si>
    <t>심플리프차량용확장형2단컵홀더</t>
  </si>
  <si>
    <t>심플리프계란오프너</t>
    <phoneticPr fontId="3" type="noConversion"/>
  </si>
  <si>
    <t>심플리프계단오르는접이식폴딩카트</t>
  </si>
  <si>
    <t>심플리프스텐옥수수필러</t>
  </si>
  <si>
    <t>심플리프마그네틱휴대폰거치대</t>
  </si>
  <si>
    <t>심플리프주방싱크대배수구여과기</t>
  </si>
  <si>
    <t>심플리프가방미끄럼방지스티커</t>
  </si>
  <si>
    <t>심플리프후방카메라레인쉴드</t>
  </si>
  <si>
    <t>심플리프물병스트랩</t>
  </si>
  <si>
    <t>심플리프매직벨크로테이프</t>
  </si>
  <si>
    <t>심플리프기름종이퍼프</t>
  </si>
  <si>
    <t>심플리프차량용콘솔쿠션팔걸이</t>
  </si>
  <si>
    <t>심플리프세면대오버플로우문어캡</t>
  </si>
  <si>
    <t>심플리프세탁기도어클립</t>
  </si>
  <si>
    <t>심플리프분리형방수앞치마</t>
  </si>
  <si>
    <t>심플리프거꾸로소스통</t>
    <phoneticPr fontId="3" type="noConversion"/>
  </si>
  <si>
    <t>심플리프접이식실리콘컵</t>
  </si>
  <si>
    <t>심플리프더블포켓복부보온벨트</t>
  </si>
  <si>
    <t>심플리프2단전자레인지선반</t>
  </si>
  <si>
    <t>심플리프오뚝이머리빗</t>
  </si>
  <si>
    <t>심플리프실리콘캔빨대커버</t>
  </si>
  <si>
    <t>심플리프반려동물습식목욕타월</t>
  </si>
  <si>
    <t>심플리프냉장고수납고리형파우치</t>
  </si>
  <si>
    <t>심플리프신발보관더스트백</t>
  </si>
  <si>
    <t>심플리프발뒤꿈치보습양말</t>
  </si>
  <si>
    <t>심플리프완두콩수세미</t>
  </si>
  <si>
    <t>심플리프일회용도마</t>
  </si>
  <si>
    <t>심플리프미니그라인더강판접시</t>
  </si>
  <si>
    <t>심플리프똑딱이망토담요</t>
  </si>
  <si>
    <t>심플리프실리콘파운데이션브러쉬</t>
  </si>
  <si>
    <t>심플리프주방세제펌핑디스펜서</t>
  </si>
  <si>
    <t>심플리프찍찍이헤어밴드</t>
  </si>
  <si>
    <t>심플리프목어깨찜질물주머니</t>
  </si>
  <si>
    <t>심플리프페이스찜질타월</t>
  </si>
  <si>
    <t>심플리프화장실변기위생손잡이</t>
  </si>
  <si>
    <t>심플리프욕실튜브홀더</t>
  </si>
  <si>
    <t>심플리프식기건조배수매트</t>
  </si>
  <si>
    <t>심플리프팔찌착용보조기</t>
  </si>
  <si>
    <t>심플리프접이식옷걸이</t>
  </si>
  <si>
    <t>심플리프여행용가방목베개</t>
    <phoneticPr fontId="3" type="noConversion"/>
  </si>
  <si>
    <t>심플리프실리콘오븐장갑</t>
    <phoneticPr fontId="3" type="noConversion"/>
  </si>
  <si>
    <t>심플리프접이식쇼퍼백</t>
    <phoneticPr fontId="3" type="noConversion"/>
  </si>
  <si>
    <t>심플리프핸드폰액정닦이키링</t>
    <phoneticPr fontId="3" type="noConversion"/>
  </si>
  <si>
    <t>심플리프자동차키보관함</t>
  </si>
  <si>
    <t>심플리프스트레칭요가휠</t>
  </si>
  <si>
    <t>심플리프틈새먼지제거기</t>
    <phoneticPr fontId="3" type="noConversion"/>
  </si>
  <si>
    <t>심플리프다용도연고정리대</t>
    <phoneticPr fontId="3" type="noConversion"/>
  </si>
  <si>
    <t>심플리프액자형악세사리정리함</t>
  </si>
  <si>
    <t>심플리프손가락마사지기</t>
  </si>
  <si>
    <t>심플리프운동화끈원터치버클</t>
  </si>
  <si>
    <t>심플리프실리콘뚜껑립브러쉬</t>
  </si>
  <si>
    <t>심플리프휴대용퍼프보관함</t>
  </si>
  <si>
    <t>[Z]아케이바이스탠딩주걱(3B)</t>
    <phoneticPr fontId="3" type="noConversion"/>
  </si>
  <si>
    <t>[Z]아케이바이스탠딩주걱(2B)</t>
  </si>
  <si>
    <t>아케이바이스탠딩주걱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</si>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</sst>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&quot;-&quot;#"/>
    <numFmt numFmtId="177" formatCode="0_ ;[Red]\-0\ "/>
    <numFmt numFmtId="178" formatCode="#,##0_);[Red]\(#,##0\)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FFFF00"/>
      <name val="맑은 고딕"/>
      <family val="3"/>
      <charset val="129"/>
    </font>
    <font>
      <sz val="12"/>
      <color theme="1"/>
      <name val="KoPubWorld돋움체 Bold"/>
      <family val="3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2"/>
      <color theme="1" tint="0.24997711111789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color theme="1"/>
      <name val="KoPubWorld돋움체 Light"/>
      <family val="3"/>
      <charset val="129"/>
    </font>
    <font>
      <b/>
      <sz val="12"/>
      <color theme="1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6" fillId="0" borderId="1" xfId="0" applyFont="1" applyBorder="1" applyAlignment="1"/>
    <xf numFmtId="177" fontId="6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177" fontId="6" fillId="4" borderId="1" xfId="0" applyNumberFormat="1" applyFont="1" applyFill="1" applyBorder="1">
      <alignment vertical="center"/>
    </xf>
    <xf numFmtId="176" fontId="6" fillId="4" borderId="1" xfId="0" applyNumberFormat="1" applyFont="1" applyFill="1" applyBorder="1">
      <alignment vertical="center"/>
    </xf>
    <xf numFmtId="0" fontId="6" fillId="4" borderId="1" xfId="0" applyFont="1" applyFill="1" applyBorder="1" applyAlignme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177" fontId="6" fillId="0" borderId="1" xfId="0" applyNumberFormat="1" applyFont="1" applyBorder="1" applyAlignment="1"/>
    <xf numFmtId="177" fontId="6" fillId="0" borderId="1" xfId="1" applyNumberFormat="1" applyFont="1" applyFill="1" applyBorder="1" applyAlignment="1"/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>
      <alignment vertical="center"/>
    </xf>
    <xf numFmtId="177" fontId="6" fillId="4" borderId="1" xfId="0" applyNumberFormat="1" applyFont="1" applyFill="1" applyBorder="1" applyAlignment="1"/>
    <xf numFmtId="49" fontId="8" fillId="0" borderId="1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77" fontId="10" fillId="0" borderId="1" xfId="0" applyNumberFormat="1" applyFont="1" applyBorder="1">
      <alignment vertical="center"/>
    </xf>
    <xf numFmtId="177" fontId="10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0" fontId="0" fillId="0" borderId="1" xfId="0" applyBorder="1" applyAlignment="1"/>
    <xf numFmtId="0" fontId="7" fillId="0" borderId="2" xfId="0" applyFont="1" applyBorder="1" applyAlignment="1">
      <alignment horizontal="left" vertical="center"/>
    </xf>
    <xf numFmtId="177" fontId="6" fillId="0" borderId="2" xfId="0" applyNumberFormat="1" applyFont="1" applyBorder="1">
      <alignment vertical="center"/>
    </xf>
    <xf numFmtId="177" fontId="6" fillId="0" borderId="2" xfId="0" applyNumberFormat="1" applyFont="1" applyBorder="1" applyAlignment="1"/>
    <xf numFmtId="176" fontId="6" fillId="0" borderId="2" xfId="0" applyNumberFormat="1" applyFont="1" applyBorder="1">
      <alignment vertical="center"/>
    </xf>
    <xf numFmtId="178" fontId="11" fillId="5" borderId="3" xfId="0" applyNumberFormat="1" applyFont="1" applyFill="1" applyBorder="1" applyAlignment="1">
      <alignment horizontal="center" vertical="center"/>
    </xf>
    <xf numFmtId="177" fontId="11" fillId="6" borderId="4" xfId="0" applyNumberFormat="1" applyFont="1" applyFill="1" applyBorder="1">
      <alignment vertical="center"/>
    </xf>
    <xf numFmtId="178" fontId="11" fillId="6" borderId="3" xfId="0" applyNumberFormat="1" applyFont="1" applyFill="1" applyBorder="1">
      <alignment vertical="center"/>
    </xf>
    <xf numFmtId="178" fontId="12" fillId="0" borderId="0" xfId="0" applyNumberFormat="1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</cellXfs>
  <cellStyles count="2">
    <cellStyle name="통화 [0]" xfId="1" builtinId="7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F678-A08A-4EA0-8B5F-C9069685D5A3}">
  <sheetPr>
    <pageSetUpPr fitToPage="1"/>
  </sheetPr>
  <dimension ref="A1:AM1349"/>
  <sheetViews>
    <sheetView tabSelected="1" zoomScale="83" zoomScaleNormal="83" zoomScaleSheetLayoutView="100" workbookViewId="0">
      <pane xSplit="2" ySplit="1" topLeftCell="T2" activePane="bottomRight" state="frozen"/>
      <selection activeCell="A364" sqref="A364:XFD365"/>
      <selection pane="topRight" activeCell="A364" sqref="A364:XFD365"/>
      <selection pane="bottomLeft" activeCell="A364" sqref="A364:XFD365"/>
      <selection pane="bottomRight" activeCell="AL2" sqref="AL2:AL1340"/>
    </sheetView>
  </sheetViews>
  <sheetFormatPr defaultRowHeight="24.95" customHeight="1"/>
  <cols>
    <col min="1" max="1" width="52.75" style="40" bestFit="1" customWidth="1"/>
    <col min="2" max="2" width="12.625" style="40" customWidth="1"/>
    <col min="3" max="3" width="12.5" style="40" hidden="1" customWidth="1"/>
    <col min="4" max="7" width="12.625" style="40" hidden="1" customWidth="1"/>
    <col min="8" max="8" width="12.625" style="41" hidden="1" customWidth="1"/>
    <col min="9" max="11" width="12.625" style="40" hidden="1" customWidth="1"/>
    <col min="12" max="13" width="12.625" style="40" customWidth="1"/>
    <col min="14" max="14" width="13.5" style="40" customWidth="1"/>
    <col min="15" max="17" width="12.625" style="40" customWidth="1"/>
    <col min="18" max="18" width="12.5" style="40" customWidth="1"/>
    <col min="19" max="22" width="12.625" style="40" customWidth="1"/>
    <col min="23" max="23" width="14.625" style="40" customWidth="1"/>
    <col min="24" max="24" width="14.125" style="40" customWidth="1"/>
    <col min="25" max="25" width="12.625" style="41" customWidth="1"/>
    <col min="26" max="31" width="12.625" style="40" customWidth="1"/>
    <col min="32" max="35" width="12.625" style="40" hidden="1" customWidth="1"/>
    <col min="36" max="38" width="12.625" style="40" customWidth="1"/>
    <col min="39" max="39" width="19.125" style="40" customWidth="1"/>
  </cols>
  <sheetData>
    <row r="1" spans="1:39" s="6" customFormat="1" ht="3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5" t="s">
        <v>37</v>
      </c>
      <c r="AM1" s="1" t="s">
        <v>38</v>
      </c>
    </row>
    <row r="2" spans="1:39" ht="24.95" customHeight="1">
      <c r="A2" s="7" t="s">
        <v>39</v>
      </c>
      <c r="B2" s="8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>
        <f>+AB2</f>
        <v>0</v>
      </c>
      <c r="AD2" s="8"/>
      <c r="AE2" s="8"/>
      <c r="AF2" s="8"/>
      <c r="AG2" s="8"/>
      <c r="AH2" s="8"/>
      <c r="AI2" s="8"/>
      <c r="AJ2" s="8"/>
      <c r="AK2" s="8">
        <f t="shared" ref="AK2:AK65" si="0">SUM((D2+P2+G2+L2+S2+X2+Z2+AD2+M2+J2+V2+AB2+F2+AG2+O2+AI2)+(-N2-E2-R2-Q2-T2-Y2-AA2-AE2-AJ2-K2-I2-H2-U2-AC2-AF2-AH2-W2))</f>
        <v>0</v>
      </c>
      <c r="AL2" s="8">
        <f t="shared" ref="AL2:AL65" si="1">B2+AK2</f>
        <v>0</v>
      </c>
      <c r="AM2" s="9"/>
    </row>
    <row r="3" spans="1:39" ht="24.95" customHeight="1">
      <c r="A3" s="7" t="s">
        <v>40</v>
      </c>
      <c r="B3" s="8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>
        <f>+AB3</f>
        <v>0</v>
      </c>
      <c r="AD3" s="8"/>
      <c r="AE3" s="8"/>
      <c r="AF3" s="8"/>
      <c r="AG3" s="8"/>
      <c r="AH3" s="8"/>
      <c r="AI3" s="8"/>
      <c r="AJ3" s="8"/>
      <c r="AK3" s="8">
        <f t="shared" si="0"/>
        <v>0</v>
      </c>
      <c r="AL3" s="8">
        <f t="shared" si="1"/>
        <v>0</v>
      </c>
      <c r="AM3" s="9"/>
    </row>
    <row r="4" spans="1:39" ht="24.95" customHeight="1">
      <c r="A4" s="7" t="s">
        <v>41</v>
      </c>
      <c r="B4" s="8">
        <v>3676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f>+Z5*2</f>
        <v>0</v>
      </c>
      <c r="AB4" s="8"/>
      <c r="AC4" s="8">
        <f>+AB4</f>
        <v>0</v>
      </c>
      <c r="AD4" s="8"/>
      <c r="AE4" s="8"/>
      <c r="AF4" s="8"/>
      <c r="AG4" s="8"/>
      <c r="AH4" s="8"/>
      <c r="AI4" s="8"/>
      <c r="AJ4" s="8">
        <v>2</v>
      </c>
      <c r="AK4" s="8">
        <f t="shared" si="0"/>
        <v>-2</v>
      </c>
      <c r="AL4" s="8">
        <f t="shared" si="1"/>
        <v>3674</v>
      </c>
      <c r="AM4" s="9"/>
    </row>
    <row r="5" spans="1:39" ht="24.95" customHeight="1">
      <c r="A5" s="7" t="s">
        <v>42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f t="shared" si="0"/>
        <v>0</v>
      </c>
      <c r="AL5" s="8">
        <f t="shared" si="1"/>
        <v>0</v>
      </c>
      <c r="AM5" s="9"/>
    </row>
    <row r="6" spans="1:39" ht="24.95" customHeight="1">
      <c r="A6" s="7" t="s">
        <v>43</v>
      </c>
      <c r="B6" s="8">
        <v>3387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f t="shared" ref="AC6:AC69" si="2">+AB6</f>
        <v>0</v>
      </c>
      <c r="AD6" s="8"/>
      <c r="AE6" s="8"/>
      <c r="AF6" s="8"/>
      <c r="AG6" s="8"/>
      <c r="AH6" s="8"/>
      <c r="AI6" s="8"/>
      <c r="AJ6" s="8">
        <v>3</v>
      </c>
      <c r="AK6" s="8">
        <f t="shared" si="0"/>
        <v>-3</v>
      </c>
      <c r="AL6" s="8">
        <f t="shared" si="1"/>
        <v>3384</v>
      </c>
      <c r="AM6" s="9"/>
    </row>
    <row r="7" spans="1:39" ht="24.95" customHeight="1">
      <c r="A7" s="7" t="s">
        <v>44</v>
      </c>
      <c r="B7" s="8">
        <v>1263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f t="shared" si="2"/>
        <v>0</v>
      </c>
      <c r="AD7" s="8"/>
      <c r="AE7" s="8"/>
      <c r="AF7" s="8"/>
      <c r="AG7" s="8"/>
      <c r="AH7" s="8"/>
      <c r="AI7" s="8"/>
      <c r="AJ7" s="8"/>
      <c r="AK7" s="8">
        <f t="shared" si="0"/>
        <v>0</v>
      </c>
      <c r="AL7" s="8">
        <f t="shared" si="1"/>
        <v>1263</v>
      </c>
      <c r="AM7" s="9"/>
    </row>
    <row r="8" spans="1:39" ht="24.95" customHeight="1">
      <c r="A8" s="10" t="s">
        <v>45</v>
      </c>
      <c r="B8" s="8">
        <v>1473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>
        <f>+Z9*2</f>
        <v>0</v>
      </c>
      <c r="AB8" s="8"/>
      <c r="AC8" s="8">
        <f t="shared" si="2"/>
        <v>0</v>
      </c>
      <c r="AD8" s="8"/>
      <c r="AE8" s="8"/>
      <c r="AF8" s="8"/>
      <c r="AG8" s="8"/>
      <c r="AH8" s="8"/>
      <c r="AI8" s="8"/>
      <c r="AJ8" s="8">
        <v>2</v>
      </c>
      <c r="AK8" s="8">
        <f t="shared" si="0"/>
        <v>-2</v>
      </c>
      <c r="AL8" s="8">
        <f t="shared" si="1"/>
        <v>1471</v>
      </c>
      <c r="AM8" s="9"/>
    </row>
    <row r="9" spans="1:39" ht="24.95" customHeight="1">
      <c r="A9" s="10" t="s">
        <v>46</v>
      </c>
      <c r="B9" s="8">
        <v>725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>
        <v>30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>
        <f t="shared" si="2"/>
        <v>0</v>
      </c>
      <c r="AD9" s="8"/>
      <c r="AE9" s="8"/>
      <c r="AF9" s="8"/>
      <c r="AG9" s="8"/>
      <c r="AH9" s="8"/>
      <c r="AI9" s="8"/>
      <c r="AJ9" s="8"/>
      <c r="AK9" s="8">
        <f t="shared" si="0"/>
        <v>-30</v>
      </c>
      <c r="AL9" s="8">
        <f t="shared" si="1"/>
        <v>695</v>
      </c>
      <c r="AM9" s="9"/>
    </row>
    <row r="10" spans="1:39" ht="24.95" customHeight="1">
      <c r="A10" s="10" t="s">
        <v>47</v>
      </c>
      <c r="B10" s="8">
        <v>4047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>
        <f>+Z11*2</f>
        <v>0</v>
      </c>
      <c r="AB10" s="8"/>
      <c r="AC10" s="8">
        <f t="shared" si="2"/>
        <v>0</v>
      </c>
      <c r="AD10" s="8"/>
      <c r="AE10" s="8"/>
      <c r="AF10" s="8"/>
      <c r="AG10" s="8"/>
      <c r="AH10" s="8"/>
      <c r="AI10" s="8"/>
      <c r="AJ10" s="8">
        <v>5</v>
      </c>
      <c r="AK10" s="8">
        <f t="shared" si="0"/>
        <v>-5</v>
      </c>
      <c r="AL10" s="8">
        <f t="shared" si="1"/>
        <v>4042</v>
      </c>
      <c r="AM10" s="9"/>
    </row>
    <row r="11" spans="1:39" ht="24.95" customHeight="1">
      <c r="A11" s="10" t="s">
        <v>48</v>
      </c>
      <c r="B11" s="8"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>
        <f t="shared" si="2"/>
        <v>0</v>
      </c>
      <c r="AD11" s="8"/>
      <c r="AE11" s="8"/>
      <c r="AF11" s="8"/>
      <c r="AG11" s="8"/>
      <c r="AH11" s="8"/>
      <c r="AI11" s="8"/>
      <c r="AJ11" s="8"/>
      <c r="AK11" s="8">
        <f t="shared" si="0"/>
        <v>0</v>
      </c>
      <c r="AL11" s="8">
        <f t="shared" si="1"/>
        <v>0</v>
      </c>
      <c r="AM11" s="9"/>
    </row>
    <row r="12" spans="1:39" ht="24.95" customHeight="1">
      <c r="A12" s="10" t="s">
        <v>49</v>
      </c>
      <c r="B12" s="8">
        <v>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>
        <f>+(Z13*5)+(Z14*10)</f>
        <v>0</v>
      </c>
      <c r="AB12" s="8"/>
      <c r="AC12" s="8">
        <f t="shared" si="2"/>
        <v>0</v>
      </c>
      <c r="AD12" s="8"/>
      <c r="AE12" s="8"/>
      <c r="AF12" s="8"/>
      <c r="AG12" s="8"/>
      <c r="AH12" s="8"/>
      <c r="AI12" s="8"/>
      <c r="AJ12" s="8"/>
      <c r="AK12" s="8">
        <f t="shared" si="0"/>
        <v>0</v>
      </c>
      <c r="AL12" s="8">
        <f t="shared" si="1"/>
        <v>3</v>
      </c>
      <c r="AM12" s="9"/>
    </row>
    <row r="13" spans="1:39" ht="24.95" customHeight="1">
      <c r="A13" s="10" t="s">
        <v>50</v>
      </c>
      <c r="B13" s="8"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>
        <f t="shared" si="2"/>
        <v>0</v>
      </c>
      <c r="AD13" s="8"/>
      <c r="AE13" s="8"/>
      <c r="AF13" s="8"/>
      <c r="AG13" s="8"/>
      <c r="AH13" s="8"/>
      <c r="AI13" s="8"/>
      <c r="AJ13" s="8"/>
      <c r="AK13" s="8">
        <f t="shared" si="0"/>
        <v>0</v>
      </c>
      <c r="AL13" s="8">
        <f t="shared" si="1"/>
        <v>0</v>
      </c>
      <c r="AM13" s="9"/>
    </row>
    <row r="14" spans="1:39" ht="24.95" customHeight="1">
      <c r="A14" s="10" t="s">
        <v>51</v>
      </c>
      <c r="B14" s="8"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>
        <f t="shared" si="2"/>
        <v>0</v>
      </c>
      <c r="AD14" s="8"/>
      <c r="AE14" s="8"/>
      <c r="AF14" s="8"/>
      <c r="AG14" s="8"/>
      <c r="AH14" s="8"/>
      <c r="AI14" s="8"/>
      <c r="AJ14" s="8"/>
      <c r="AK14" s="8">
        <f t="shared" si="0"/>
        <v>0</v>
      </c>
      <c r="AL14" s="8">
        <f t="shared" si="1"/>
        <v>0</v>
      </c>
      <c r="AM14" s="9"/>
    </row>
    <row r="15" spans="1:39" ht="24.95" customHeight="1">
      <c r="A15" s="10" t="s">
        <v>52</v>
      </c>
      <c r="B15" s="8"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f t="shared" si="2"/>
        <v>0</v>
      </c>
      <c r="AD15" s="8"/>
      <c r="AE15" s="8"/>
      <c r="AF15" s="8"/>
      <c r="AG15" s="8"/>
      <c r="AH15" s="8"/>
      <c r="AI15" s="8"/>
      <c r="AJ15" s="8"/>
      <c r="AK15" s="8">
        <f t="shared" si="0"/>
        <v>0</v>
      </c>
      <c r="AL15" s="8">
        <f t="shared" si="1"/>
        <v>0</v>
      </c>
      <c r="AM15" s="9"/>
    </row>
    <row r="16" spans="1:39" ht="24.95" customHeight="1">
      <c r="A16" s="10" t="s">
        <v>53</v>
      </c>
      <c r="B16" s="8"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>
        <f t="shared" si="2"/>
        <v>0</v>
      </c>
      <c r="AD16" s="8"/>
      <c r="AE16" s="8"/>
      <c r="AF16" s="8"/>
      <c r="AG16" s="8"/>
      <c r="AH16" s="8"/>
      <c r="AI16" s="8"/>
      <c r="AJ16" s="8"/>
      <c r="AK16" s="8">
        <f t="shared" si="0"/>
        <v>0</v>
      </c>
      <c r="AL16" s="8">
        <f t="shared" si="1"/>
        <v>0</v>
      </c>
      <c r="AM16" s="9"/>
    </row>
    <row r="17" spans="1:39" ht="24.95" customHeight="1">
      <c r="A17" s="10" t="s">
        <v>54</v>
      </c>
      <c r="B17" s="8">
        <v>8282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f>+Y18*2</f>
        <v>0</v>
      </c>
      <c r="Y17" s="8"/>
      <c r="Z17" s="8"/>
      <c r="AA17" s="8">
        <f>+Z18*2</f>
        <v>0</v>
      </c>
      <c r="AB17" s="8"/>
      <c r="AC17" s="8">
        <f t="shared" si="2"/>
        <v>0</v>
      </c>
      <c r="AD17" s="8"/>
      <c r="AE17" s="8"/>
      <c r="AF17" s="8"/>
      <c r="AG17" s="8"/>
      <c r="AH17" s="8"/>
      <c r="AI17" s="8"/>
      <c r="AJ17" s="8">
        <v>11</v>
      </c>
      <c r="AK17" s="8">
        <f t="shared" si="0"/>
        <v>-11</v>
      </c>
      <c r="AL17" s="8">
        <f t="shared" si="1"/>
        <v>8271</v>
      </c>
      <c r="AM17" s="11"/>
    </row>
    <row r="18" spans="1:39" ht="24.95" customHeight="1">
      <c r="A18" s="10" t="s">
        <v>55</v>
      </c>
      <c r="B18" s="8">
        <v>406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>
        <f t="shared" si="2"/>
        <v>0</v>
      </c>
      <c r="AD18" s="8"/>
      <c r="AE18" s="8"/>
      <c r="AF18" s="8"/>
      <c r="AG18" s="8"/>
      <c r="AH18" s="8"/>
      <c r="AI18" s="8"/>
      <c r="AJ18" s="8"/>
      <c r="AK18" s="8">
        <f t="shared" si="0"/>
        <v>0</v>
      </c>
      <c r="AL18" s="8">
        <f t="shared" si="1"/>
        <v>406</v>
      </c>
      <c r="AM18" s="11"/>
    </row>
    <row r="19" spans="1:39" ht="24.95" customHeight="1">
      <c r="A19" s="10" t="s">
        <v>56</v>
      </c>
      <c r="B19" s="8"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>
        <f t="shared" si="2"/>
        <v>0</v>
      </c>
      <c r="AD19" s="8"/>
      <c r="AE19" s="8"/>
      <c r="AF19" s="8"/>
      <c r="AG19" s="8"/>
      <c r="AH19" s="8"/>
      <c r="AI19" s="8"/>
      <c r="AJ19" s="8"/>
      <c r="AK19" s="8">
        <f t="shared" si="0"/>
        <v>0</v>
      </c>
      <c r="AL19" s="8">
        <f t="shared" si="1"/>
        <v>0</v>
      </c>
      <c r="AM19" s="9"/>
    </row>
    <row r="20" spans="1:39" ht="24.95" customHeight="1">
      <c r="A20" s="10" t="s">
        <v>57</v>
      </c>
      <c r="B20" s="8"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>
        <f t="shared" si="2"/>
        <v>0</v>
      </c>
      <c r="AD20" s="8"/>
      <c r="AE20" s="8"/>
      <c r="AF20" s="8"/>
      <c r="AG20" s="8"/>
      <c r="AH20" s="8"/>
      <c r="AI20" s="8"/>
      <c r="AJ20" s="8"/>
      <c r="AK20" s="8">
        <f t="shared" si="0"/>
        <v>0</v>
      </c>
      <c r="AL20" s="8">
        <f t="shared" si="1"/>
        <v>0</v>
      </c>
      <c r="AM20" s="9"/>
    </row>
    <row r="21" spans="1:39" ht="24.95" customHeight="1">
      <c r="A21" s="10" t="s">
        <v>58</v>
      </c>
      <c r="B21" s="8"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>
        <f t="shared" si="2"/>
        <v>0</v>
      </c>
      <c r="AD21" s="8"/>
      <c r="AE21" s="8">
        <f>+AD23</f>
        <v>0</v>
      </c>
      <c r="AF21" s="8"/>
      <c r="AG21" s="8"/>
      <c r="AH21" s="8"/>
      <c r="AI21" s="8"/>
      <c r="AJ21" s="8"/>
      <c r="AK21" s="8">
        <f t="shared" si="0"/>
        <v>0</v>
      </c>
      <c r="AL21" s="8">
        <f t="shared" si="1"/>
        <v>0</v>
      </c>
      <c r="AM21" s="9"/>
    </row>
    <row r="22" spans="1:39" ht="24.95" customHeight="1">
      <c r="A22" s="10" t="s">
        <v>59</v>
      </c>
      <c r="B22" s="8">
        <v>2588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>
        <f>+Z23*2</f>
        <v>0</v>
      </c>
      <c r="AB22" s="8"/>
      <c r="AC22" s="8">
        <f t="shared" si="2"/>
        <v>0</v>
      </c>
      <c r="AD22" s="8"/>
      <c r="AE22" s="8"/>
      <c r="AF22" s="8"/>
      <c r="AG22" s="8"/>
      <c r="AH22" s="8"/>
      <c r="AI22" s="8"/>
      <c r="AJ22" s="8">
        <v>2</v>
      </c>
      <c r="AK22" s="8">
        <f t="shared" si="0"/>
        <v>-2</v>
      </c>
      <c r="AL22" s="8">
        <f t="shared" si="1"/>
        <v>2586</v>
      </c>
      <c r="AM22" s="9"/>
    </row>
    <row r="23" spans="1:39" ht="24.95" customHeight="1">
      <c r="A23" s="10" t="s">
        <v>60</v>
      </c>
      <c r="B23" s="8">
        <v>2768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>
        <f t="shared" si="2"/>
        <v>0</v>
      </c>
      <c r="AD23" s="8"/>
      <c r="AE23" s="8"/>
      <c r="AF23" s="8"/>
      <c r="AG23" s="8"/>
      <c r="AH23" s="8"/>
      <c r="AI23" s="8"/>
      <c r="AJ23" s="8"/>
      <c r="AK23" s="8">
        <f t="shared" si="0"/>
        <v>0</v>
      </c>
      <c r="AL23" s="8">
        <f t="shared" si="1"/>
        <v>2768</v>
      </c>
      <c r="AM23" s="9"/>
    </row>
    <row r="24" spans="1:39" ht="24.95" customHeight="1">
      <c r="A24" s="10" t="s">
        <v>61</v>
      </c>
      <c r="B24" s="8">
        <v>3457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>
        <f>+Z27*2</f>
        <v>0</v>
      </c>
      <c r="AB24" s="8"/>
      <c r="AC24" s="8">
        <f t="shared" si="2"/>
        <v>0</v>
      </c>
      <c r="AD24" s="8"/>
      <c r="AE24" s="8"/>
      <c r="AF24" s="8"/>
      <c r="AG24" s="8"/>
      <c r="AH24" s="8"/>
      <c r="AI24" s="8"/>
      <c r="AJ24" s="8">
        <v>50</v>
      </c>
      <c r="AK24" s="8">
        <f t="shared" si="0"/>
        <v>-50</v>
      </c>
      <c r="AL24" s="8">
        <f t="shared" si="1"/>
        <v>3407</v>
      </c>
      <c r="AM24" s="9"/>
    </row>
    <row r="25" spans="1:39" ht="24.95" customHeight="1">
      <c r="A25" s="10" t="s">
        <v>62</v>
      </c>
      <c r="B25" s="8"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>
        <f t="shared" si="2"/>
        <v>0</v>
      </c>
      <c r="AD25" s="8"/>
      <c r="AE25" s="8">
        <f>+AD24</f>
        <v>0</v>
      </c>
      <c r="AF25" s="8"/>
      <c r="AG25" s="8"/>
      <c r="AH25" s="8"/>
      <c r="AI25" s="8"/>
      <c r="AJ25" s="8"/>
      <c r="AK25" s="8">
        <f t="shared" si="0"/>
        <v>0</v>
      </c>
      <c r="AL25" s="8">
        <f t="shared" si="1"/>
        <v>0</v>
      </c>
      <c r="AM25" s="9"/>
    </row>
    <row r="26" spans="1:39" ht="24.95" customHeight="1">
      <c r="A26" s="10" t="s">
        <v>63</v>
      </c>
      <c r="B26" s="8"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f t="shared" si="2"/>
        <v>0</v>
      </c>
      <c r="AD26" s="8"/>
      <c r="AE26" s="8"/>
      <c r="AF26" s="8"/>
      <c r="AG26" s="8"/>
      <c r="AH26" s="8"/>
      <c r="AI26" s="8"/>
      <c r="AJ26" s="8"/>
      <c r="AK26" s="8">
        <f t="shared" si="0"/>
        <v>0</v>
      </c>
      <c r="AL26" s="8">
        <f t="shared" si="1"/>
        <v>0</v>
      </c>
      <c r="AM26" s="9"/>
    </row>
    <row r="27" spans="1:39" ht="24.95" customHeight="1">
      <c r="A27" s="10" t="s">
        <v>64</v>
      </c>
      <c r="B27" s="8"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>
        <f t="shared" si="2"/>
        <v>0</v>
      </c>
      <c r="AD27" s="8"/>
      <c r="AE27" s="8"/>
      <c r="AF27" s="8"/>
      <c r="AG27" s="8"/>
      <c r="AH27" s="8"/>
      <c r="AI27" s="8"/>
      <c r="AJ27" s="8"/>
      <c r="AK27" s="8">
        <f t="shared" si="0"/>
        <v>0</v>
      </c>
      <c r="AL27" s="8">
        <f t="shared" si="1"/>
        <v>0</v>
      </c>
      <c r="AM27" s="9"/>
    </row>
    <row r="28" spans="1:39" ht="24.95" customHeight="1">
      <c r="A28" s="10" t="s">
        <v>65</v>
      </c>
      <c r="B28" s="8">
        <v>10570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>
        <f>+Z29*2</f>
        <v>0</v>
      </c>
      <c r="AB28" s="8"/>
      <c r="AC28" s="8">
        <f t="shared" si="2"/>
        <v>0</v>
      </c>
      <c r="AD28" s="8"/>
      <c r="AE28" s="8"/>
      <c r="AF28" s="8"/>
      <c r="AG28" s="8"/>
      <c r="AH28" s="8"/>
      <c r="AI28" s="8"/>
      <c r="AJ28" s="8">
        <v>389</v>
      </c>
      <c r="AK28" s="8">
        <f t="shared" si="0"/>
        <v>-389</v>
      </c>
      <c r="AL28" s="8">
        <f t="shared" si="1"/>
        <v>10181</v>
      </c>
      <c r="AM28" s="9"/>
    </row>
    <row r="29" spans="1:39" ht="24.95" customHeight="1">
      <c r="A29" s="10" t="s">
        <v>66</v>
      </c>
      <c r="B29" s="8"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>
        <f t="shared" si="2"/>
        <v>0</v>
      </c>
      <c r="AD29" s="8"/>
      <c r="AE29" s="8"/>
      <c r="AF29" s="8"/>
      <c r="AG29" s="8"/>
      <c r="AH29" s="8"/>
      <c r="AI29" s="8"/>
      <c r="AJ29" s="8"/>
      <c r="AK29" s="8">
        <f t="shared" si="0"/>
        <v>0</v>
      </c>
      <c r="AL29" s="8">
        <f t="shared" si="1"/>
        <v>0</v>
      </c>
      <c r="AM29" s="9"/>
    </row>
    <row r="30" spans="1:39" ht="24.95" customHeight="1">
      <c r="A30" s="10" t="s">
        <v>67</v>
      </c>
      <c r="B30" s="8">
        <v>1303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>
        <f>+Z33*2</f>
        <v>0</v>
      </c>
      <c r="AB30" s="8"/>
      <c r="AC30" s="8">
        <f t="shared" si="2"/>
        <v>0</v>
      </c>
      <c r="AD30" s="8"/>
      <c r="AE30" s="8">
        <f>+AD32</f>
        <v>0</v>
      </c>
      <c r="AF30" s="8"/>
      <c r="AG30" s="8"/>
      <c r="AH30" s="8"/>
      <c r="AI30" s="8"/>
      <c r="AJ30" s="8">
        <v>2</v>
      </c>
      <c r="AK30" s="8">
        <f t="shared" si="0"/>
        <v>-2</v>
      </c>
      <c r="AL30" s="8">
        <f t="shared" si="1"/>
        <v>1301</v>
      </c>
      <c r="AM30" s="9"/>
    </row>
    <row r="31" spans="1:39" ht="24.95" customHeight="1">
      <c r="A31" s="10" t="s">
        <v>68</v>
      </c>
      <c r="B31" s="8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>
        <f t="shared" si="2"/>
        <v>0</v>
      </c>
      <c r="AD31" s="8"/>
      <c r="AE31" s="8"/>
      <c r="AF31" s="8"/>
      <c r="AG31" s="8"/>
      <c r="AH31" s="8"/>
      <c r="AI31" s="8"/>
      <c r="AJ31" s="8"/>
      <c r="AK31" s="8">
        <f t="shared" si="0"/>
        <v>0</v>
      </c>
      <c r="AL31" s="8">
        <f t="shared" si="1"/>
        <v>0</v>
      </c>
      <c r="AM31" s="9"/>
    </row>
    <row r="32" spans="1:39" ht="24.95" customHeight="1">
      <c r="A32" s="10" t="s">
        <v>69</v>
      </c>
      <c r="B32" s="8"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>
        <f t="shared" si="2"/>
        <v>0</v>
      </c>
      <c r="AD32" s="8"/>
      <c r="AE32" s="8"/>
      <c r="AF32" s="8"/>
      <c r="AG32" s="8"/>
      <c r="AH32" s="8"/>
      <c r="AI32" s="8"/>
      <c r="AJ32" s="8"/>
      <c r="AK32" s="8">
        <f t="shared" si="0"/>
        <v>0</v>
      </c>
      <c r="AL32" s="8">
        <f t="shared" si="1"/>
        <v>0</v>
      </c>
      <c r="AM32" s="9"/>
    </row>
    <row r="33" spans="1:39" ht="24.95" customHeight="1">
      <c r="A33" s="10" t="s">
        <v>70</v>
      </c>
      <c r="B33" s="8"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>
        <f t="shared" si="2"/>
        <v>0</v>
      </c>
      <c r="AD33" s="8"/>
      <c r="AE33" s="8"/>
      <c r="AF33" s="8"/>
      <c r="AG33" s="8"/>
      <c r="AH33" s="8"/>
      <c r="AI33" s="8"/>
      <c r="AJ33" s="8"/>
      <c r="AK33" s="8">
        <f t="shared" si="0"/>
        <v>0</v>
      </c>
      <c r="AL33" s="8">
        <f t="shared" si="1"/>
        <v>0</v>
      </c>
      <c r="AM33" s="9"/>
    </row>
    <row r="34" spans="1:39" ht="24.95" customHeight="1">
      <c r="A34" s="10" t="s">
        <v>71</v>
      </c>
      <c r="B34" s="8"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>
        <f t="shared" si="2"/>
        <v>0</v>
      </c>
      <c r="AD34" s="8"/>
      <c r="AE34" s="8"/>
      <c r="AF34" s="8"/>
      <c r="AG34" s="8"/>
      <c r="AH34" s="8"/>
      <c r="AI34" s="8"/>
      <c r="AJ34" s="8"/>
      <c r="AK34" s="8">
        <f t="shared" si="0"/>
        <v>0</v>
      </c>
      <c r="AL34" s="8">
        <f t="shared" si="1"/>
        <v>0</v>
      </c>
      <c r="AM34" s="9"/>
    </row>
    <row r="35" spans="1:39" ht="24.95" customHeight="1">
      <c r="A35" s="10" t="s">
        <v>72</v>
      </c>
      <c r="B35" s="8">
        <v>3087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178</v>
      </c>
      <c r="S35" s="8"/>
      <c r="T35" s="8"/>
      <c r="U35" s="8"/>
      <c r="V35" s="8"/>
      <c r="W35" s="8"/>
      <c r="X35" s="8"/>
      <c r="Y35" s="8"/>
      <c r="Z35" s="8"/>
      <c r="AA35" s="8">
        <f>+Z36*2</f>
        <v>0</v>
      </c>
      <c r="AB35" s="8"/>
      <c r="AC35" s="8">
        <f t="shared" si="2"/>
        <v>0</v>
      </c>
      <c r="AD35" s="8"/>
      <c r="AE35" s="8"/>
      <c r="AF35" s="8"/>
      <c r="AG35" s="8"/>
      <c r="AH35" s="8"/>
      <c r="AI35" s="8"/>
      <c r="AJ35" s="8"/>
      <c r="AK35" s="8">
        <f t="shared" si="0"/>
        <v>-178</v>
      </c>
      <c r="AL35" s="8">
        <f t="shared" si="1"/>
        <v>2909</v>
      </c>
      <c r="AM35" s="9"/>
    </row>
    <row r="36" spans="1:39" ht="24.95" customHeight="1">
      <c r="A36" s="10" t="s">
        <v>73</v>
      </c>
      <c r="B36" s="8"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>
        <f t="shared" si="2"/>
        <v>0</v>
      </c>
      <c r="AD36" s="8"/>
      <c r="AE36" s="8"/>
      <c r="AF36" s="8"/>
      <c r="AG36" s="8"/>
      <c r="AH36" s="8"/>
      <c r="AI36" s="8"/>
      <c r="AJ36" s="8"/>
      <c r="AK36" s="8">
        <f t="shared" si="0"/>
        <v>0</v>
      </c>
      <c r="AL36" s="8">
        <f t="shared" si="1"/>
        <v>0</v>
      </c>
      <c r="AM36" s="9"/>
    </row>
    <row r="37" spans="1:39" ht="24.95" customHeight="1">
      <c r="A37" s="10" t="s">
        <v>74</v>
      </c>
      <c r="B37" s="8"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f t="shared" si="2"/>
        <v>0</v>
      </c>
      <c r="AD37" s="8"/>
      <c r="AE37" s="8"/>
      <c r="AF37" s="8"/>
      <c r="AG37" s="8"/>
      <c r="AH37" s="8"/>
      <c r="AI37" s="8"/>
      <c r="AJ37" s="8"/>
      <c r="AK37" s="8">
        <f t="shared" si="0"/>
        <v>0</v>
      </c>
      <c r="AL37" s="8">
        <f t="shared" si="1"/>
        <v>0</v>
      </c>
      <c r="AM37" s="9"/>
    </row>
    <row r="38" spans="1:39" ht="24.95" customHeight="1">
      <c r="A38" s="10" t="s">
        <v>75</v>
      </c>
      <c r="B38" s="8"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>
        <f>+Z39*5</f>
        <v>0</v>
      </c>
      <c r="AB38" s="8"/>
      <c r="AC38" s="8">
        <f t="shared" si="2"/>
        <v>0</v>
      </c>
      <c r="AD38" s="8"/>
      <c r="AE38" s="8"/>
      <c r="AF38" s="8"/>
      <c r="AG38" s="8"/>
      <c r="AH38" s="8"/>
      <c r="AI38" s="8"/>
      <c r="AJ38" s="8"/>
      <c r="AK38" s="8">
        <f t="shared" si="0"/>
        <v>0</v>
      </c>
      <c r="AL38" s="8">
        <f t="shared" si="1"/>
        <v>0</v>
      </c>
      <c r="AM38" s="9"/>
    </row>
    <row r="39" spans="1:39" ht="24.95" customHeight="1">
      <c r="A39" s="10" t="s">
        <v>76</v>
      </c>
      <c r="B39" s="8"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>
        <f>+Z40*2</f>
        <v>0</v>
      </c>
      <c r="AB39" s="8"/>
      <c r="AC39" s="8">
        <f t="shared" si="2"/>
        <v>0</v>
      </c>
      <c r="AD39" s="8"/>
      <c r="AE39" s="8"/>
      <c r="AF39" s="8"/>
      <c r="AG39" s="8"/>
      <c r="AH39" s="8"/>
      <c r="AI39" s="8"/>
      <c r="AJ39" s="8"/>
      <c r="AK39" s="8">
        <f t="shared" si="0"/>
        <v>0</v>
      </c>
      <c r="AL39" s="8">
        <f t="shared" si="1"/>
        <v>0</v>
      </c>
      <c r="AM39" s="9"/>
    </row>
    <row r="40" spans="1:39" ht="24.95" customHeight="1">
      <c r="A40" s="10" t="s">
        <v>77</v>
      </c>
      <c r="B40" s="8"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>
        <f t="shared" si="2"/>
        <v>0</v>
      </c>
      <c r="AD40" s="8"/>
      <c r="AE40" s="8"/>
      <c r="AF40" s="8"/>
      <c r="AG40" s="8"/>
      <c r="AH40" s="8"/>
      <c r="AI40" s="8"/>
      <c r="AJ40" s="8"/>
      <c r="AK40" s="8">
        <f t="shared" si="0"/>
        <v>0</v>
      </c>
      <c r="AL40" s="8">
        <f t="shared" si="1"/>
        <v>0</v>
      </c>
      <c r="AM40" s="9"/>
    </row>
    <row r="41" spans="1:39" ht="24.95" customHeight="1">
      <c r="A41" s="10" t="s">
        <v>78</v>
      </c>
      <c r="B41" s="8"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f t="shared" si="2"/>
        <v>0</v>
      </c>
      <c r="AD41" s="8"/>
      <c r="AE41" s="8"/>
      <c r="AF41" s="8"/>
      <c r="AG41" s="8"/>
      <c r="AH41" s="8"/>
      <c r="AI41" s="8"/>
      <c r="AJ41" s="8"/>
      <c r="AK41" s="8">
        <f t="shared" si="0"/>
        <v>0</v>
      </c>
      <c r="AL41" s="8">
        <f t="shared" si="1"/>
        <v>0</v>
      </c>
      <c r="AM41" s="9"/>
    </row>
    <row r="42" spans="1:39" ht="24.95" customHeight="1">
      <c r="A42" s="10" t="s">
        <v>79</v>
      </c>
      <c r="B42" s="8"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>
        <f t="shared" si="2"/>
        <v>0</v>
      </c>
      <c r="AD42" s="8"/>
      <c r="AE42" s="8"/>
      <c r="AF42" s="8"/>
      <c r="AG42" s="8"/>
      <c r="AH42" s="8"/>
      <c r="AI42" s="8"/>
      <c r="AJ42" s="8"/>
      <c r="AK42" s="8">
        <f t="shared" si="0"/>
        <v>0</v>
      </c>
      <c r="AL42" s="8">
        <f t="shared" si="1"/>
        <v>0</v>
      </c>
      <c r="AM42" s="9"/>
    </row>
    <row r="43" spans="1:39" ht="24.95" customHeight="1">
      <c r="A43" s="10" t="s">
        <v>80</v>
      </c>
      <c r="B43" s="8"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>
        <f t="shared" si="2"/>
        <v>0</v>
      </c>
      <c r="AD43" s="8"/>
      <c r="AE43" s="8"/>
      <c r="AF43" s="8"/>
      <c r="AG43" s="8"/>
      <c r="AH43" s="8"/>
      <c r="AI43" s="8"/>
      <c r="AJ43" s="8"/>
      <c r="AK43" s="8">
        <f t="shared" si="0"/>
        <v>0</v>
      </c>
      <c r="AL43" s="8">
        <f t="shared" si="1"/>
        <v>0</v>
      </c>
      <c r="AM43" s="9"/>
    </row>
    <row r="44" spans="1:39" ht="24.95" customHeight="1">
      <c r="A44" s="10" t="s">
        <v>81</v>
      </c>
      <c r="B44" s="8">
        <v>6326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>
        <f>+Z45*2</f>
        <v>0</v>
      </c>
      <c r="AB44" s="8"/>
      <c r="AC44" s="8">
        <f t="shared" si="2"/>
        <v>0</v>
      </c>
      <c r="AD44" s="8"/>
      <c r="AE44" s="8"/>
      <c r="AF44" s="8"/>
      <c r="AG44" s="8"/>
      <c r="AH44" s="8"/>
      <c r="AI44" s="8"/>
      <c r="AJ44" s="8">
        <v>9</v>
      </c>
      <c r="AK44" s="8">
        <f t="shared" si="0"/>
        <v>-9</v>
      </c>
      <c r="AL44" s="8">
        <f t="shared" si="1"/>
        <v>6317</v>
      </c>
      <c r="AM44" s="11"/>
    </row>
    <row r="45" spans="1:39" ht="24.95" customHeight="1">
      <c r="A45" s="10" t="s">
        <v>82</v>
      </c>
      <c r="B45" s="8">
        <v>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f t="shared" si="2"/>
        <v>0</v>
      </c>
      <c r="AD45" s="8"/>
      <c r="AE45" s="8"/>
      <c r="AF45" s="8"/>
      <c r="AG45" s="8"/>
      <c r="AH45" s="8"/>
      <c r="AI45" s="8"/>
      <c r="AJ45" s="8"/>
      <c r="AK45" s="8">
        <f t="shared" si="0"/>
        <v>0</v>
      </c>
      <c r="AL45" s="8">
        <f t="shared" si="1"/>
        <v>0</v>
      </c>
      <c r="AM45" s="9"/>
    </row>
    <row r="46" spans="1:39" ht="24.95" customHeight="1">
      <c r="A46" s="10" t="s">
        <v>83</v>
      </c>
      <c r="B46" s="8">
        <v>2875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>
        <v>98</v>
      </c>
      <c r="S46" s="8"/>
      <c r="T46" s="8"/>
      <c r="U46" s="8"/>
      <c r="V46" s="8"/>
      <c r="W46" s="8"/>
      <c r="X46" s="8"/>
      <c r="Y46" s="8"/>
      <c r="Z46" s="8"/>
      <c r="AA46" s="8">
        <f>+Z47*2</f>
        <v>44</v>
      </c>
      <c r="AB46" s="8"/>
      <c r="AC46" s="8">
        <f t="shared" si="2"/>
        <v>0</v>
      </c>
      <c r="AD46" s="8"/>
      <c r="AE46" s="8"/>
      <c r="AF46" s="8"/>
      <c r="AG46" s="8"/>
      <c r="AH46" s="8"/>
      <c r="AI46" s="8"/>
      <c r="AJ46" s="8">
        <v>39</v>
      </c>
      <c r="AK46" s="8">
        <f t="shared" si="0"/>
        <v>-181</v>
      </c>
      <c r="AL46" s="8">
        <f t="shared" si="1"/>
        <v>2694</v>
      </c>
      <c r="AM46" s="11"/>
    </row>
    <row r="47" spans="1:39" ht="24.95" customHeight="1">
      <c r="A47" s="10" t="s">
        <v>84</v>
      </c>
      <c r="B47" s="8">
        <v>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>
        <v>10</v>
      </c>
      <c r="S47" s="8"/>
      <c r="T47" s="8"/>
      <c r="U47" s="8"/>
      <c r="V47" s="8"/>
      <c r="W47" s="8"/>
      <c r="X47" s="8"/>
      <c r="Y47" s="8"/>
      <c r="Z47" s="8">
        <v>22</v>
      </c>
      <c r="AA47" s="8"/>
      <c r="AB47" s="8"/>
      <c r="AC47" s="8">
        <f t="shared" si="2"/>
        <v>0</v>
      </c>
      <c r="AD47" s="8"/>
      <c r="AE47" s="8"/>
      <c r="AF47" s="8"/>
      <c r="AG47" s="8"/>
      <c r="AH47" s="8"/>
      <c r="AI47" s="8"/>
      <c r="AJ47" s="8">
        <v>12</v>
      </c>
      <c r="AK47" s="8">
        <f t="shared" si="0"/>
        <v>0</v>
      </c>
      <c r="AL47" s="8">
        <f t="shared" si="1"/>
        <v>0</v>
      </c>
      <c r="AM47" s="9"/>
    </row>
    <row r="48" spans="1:39" ht="24.95" customHeight="1">
      <c r="A48" s="10" t="s">
        <v>85</v>
      </c>
      <c r="B48" s="8">
        <v>8215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>
        <f>+Z49*2</f>
        <v>0</v>
      </c>
      <c r="AB48" s="8"/>
      <c r="AC48" s="8">
        <f t="shared" si="2"/>
        <v>0</v>
      </c>
      <c r="AD48" s="8"/>
      <c r="AE48" s="8"/>
      <c r="AF48" s="8"/>
      <c r="AG48" s="8"/>
      <c r="AH48" s="8"/>
      <c r="AI48" s="8"/>
      <c r="AJ48" s="8">
        <v>1</v>
      </c>
      <c r="AK48" s="8">
        <f t="shared" si="0"/>
        <v>-1</v>
      </c>
      <c r="AL48" s="8">
        <f t="shared" si="1"/>
        <v>8214</v>
      </c>
      <c r="AM48" s="9"/>
    </row>
    <row r="49" spans="1:39" ht="24.95" customHeight="1">
      <c r="A49" s="10" t="s">
        <v>86</v>
      </c>
      <c r="B49" s="8"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>
        <f t="shared" si="2"/>
        <v>0</v>
      </c>
      <c r="AD49" s="8"/>
      <c r="AE49" s="8"/>
      <c r="AF49" s="8"/>
      <c r="AG49" s="8"/>
      <c r="AH49" s="8"/>
      <c r="AI49" s="8"/>
      <c r="AJ49" s="8"/>
      <c r="AK49" s="8">
        <f t="shared" si="0"/>
        <v>0</v>
      </c>
      <c r="AL49" s="8">
        <f t="shared" si="1"/>
        <v>0</v>
      </c>
      <c r="AM49" s="9"/>
    </row>
    <row r="50" spans="1:39" ht="24.95" customHeight="1">
      <c r="A50" s="10" t="s">
        <v>87</v>
      </c>
      <c r="B50" s="8">
        <v>106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>
        <f>+Z48*2</f>
        <v>0</v>
      </c>
      <c r="AB50" s="8"/>
      <c r="AC50" s="8">
        <f t="shared" si="2"/>
        <v>0</v>
      </c>
      <c r="AD50" s="8"/>
      <c r="AE50" s="8">
        <f>+AD49</f>
        <v>0</v>
      </c>
      <c r="AF50" s="8"/>
      <c r="AG50" s="8"/>
      <c r="AH50" s="8"/>
      <c r="AI50" s="8"/>
      <c r="AJ50" s="8"/>
      <c r="AK50" s="8">
        <f t="shared" si="0"/>
        <v>0</v>
      </c>
      <c r="AL50" s="8">
        <f t="shared" si="1"/>
        <v>106</v>
      </c>
      <c r="AM50" s="9"/>
    </row>
    <row r="51" spans="1:39" ht="24.95" customHeight="1">
      <c r="A51" s="10" t="s">
        <v>88</v>
      </c>
      <c r="B51" s="8">
        <v>4033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>
        <f>+Z54*2</f>
        <v>0</v>
      </c>
      <c r="AB51" s="8"/>
      <c r="AC51" s="8">
        <f t="shared" si="2"/>
        <v>0</v>
      </c>
      <c r="AD51" s="8"/>
      <c r="AE51" s="8">
        <f>+AD53</f>
        <v>0</v>
      </c>
      <c r="AF51" s="8"/>
      <c r="AG51" s="8"/>
      <c r="AH51" s="8"/>
      <c r="AI51" s="8"/>
      <c r="AJ51" s="8"/>
      <c r="AK51" s="8">
        <f t="shared" si="0"/>
        <v>0</v>
      </c>
      <c r="AL51" s="8">
        <f t="shared" si="1"/>
        <v>4033</v>
      </c>
      <c r="AM51" s="9"/>
    </row>
    <row r="52" spans="1:39" ht="24.95" customHeight="1">
      <c r="A52" s="10" t="s">
        <v>89</v>
      </c>
      <c r="B52" s="8"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f t="shared" si="2"/>
        <v>0</v>
      </c>
      <c r="AD52" s="8"/>
      <c r="AE52" s="8"/>
      <c r="AF52" s="8"/>
      <c r="AG52" s="8"/>
      <c r="AH52" s="8"/>
      <c r="AI52" s="8"/>
      <c r="AJ52" s="8"/>
      <c r="AK52" s="8">
        <f t="shared" si="0"/>
        <v>0</v>
      </c>
      <c r="AL52" s="8">
        <f t="shared" si="1"/>
        <v>0</v>
      </c>
      <c r="AM52" s="9"/>
    </row>
    <row r="53" spans="1:39" ht="24.95" customHeight="1">
      <c r="A53" s="10" t="s">
        <v>90</v>
      </c>
      <c r="B53" s="8">
        <v>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>
        <f t="shared" si="2"/>
        <v>0</v>
      </c>
      <c r="AD53" s="8"/>
      <c r="AE53" s="8"/>
      <c r="AF53" s="8"/>
      <c r="AG53" s="8"/>
      <c r="AH53" s="8"/>
      <c r="AI53" s="8"/>
      <c r="AJ53" s="8"/>
      <c r="AK53" s="8">
        <f t="shared" si="0"/>
        <v>0</v>
      </c>
      <c r="AL53" s="8">
        <f t="shared" si="1"/>
        <v>0</v>
      </c>
      <c r="AM53" s="9"/>
    </row>
    <row r="54" spans="1:39" ht="24.95" customHeight="1">
      <c r="A54" s="10" t="s">
        <v>91</v>
      </c>
      <c r="B54" s="8"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f t="shared" si="2"/>
        <v>0</v>
      </c>
      <c r="AD54" s="8"/>
      <c r="AE54" s="8"/>
      <c r="AF54" s="8"/>
      <c r="AG54" s="8"/>
      <c r="AH54" s="8"/>
      <c r="AI54" s="8"/>
      <c r="AJ54" s="8"/>
      <c r="AK54" s="8">
        <f t="shared" si="0"/>
        <v>0</v>
      </c>
      <c r="AL54" s="8">
        <f t="shared" si="1"/>
        <v>0</v>
      </c>
      <c r="AM54" s="9"/>
    </row>
    <row r="55" spans="1:39" ht="24.95" customHeight="1">
      <c r="A55" s="10" t="s">
        <v>92</v>
      </c>
      <c r="B55" s="8">
        <v>3559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>
        <f>+Z58*2</f>
        <v>0</v>
      </c>
      <c r="AB55" s="8"/>
      <c r="AC55" s="8">
        <f t="shared" si="2"/>
        <v>0</v>
      </c>
      <c r="AD55" s="8"/>
      <c r="AE55" s="8">
        <f>+AD57</f>
        <v>0</v>
      </c>
      <c r="AF55" s="8"/>
      <c r="AG55" s="8"/>
      <c r="AH55" s="8"/>
      <c r="AI55" s="8"/>
      <c r="AJ55" s="8"/>
      <c r="AK55" s="8">
        <f t="shared" si="0"/>
        <v>0</v>
      </c>
      <c r="AL55" s="8">
        <f t="shared" si="1"/>
        <v>3559</v>
      </c>
      <c r="AM55" s="9"/>
    </row>
    <row r="56" spans="1:39" ht="24.95" customHeight="1">
      <c r="A56" s="10" t="s">
        <v>93</v>
      </c>
      <c r="B56" s="8"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f t="shared" si="2"/>
        <v>0</v>
      </c>
      <c r="AD56" s="8"/>
      <c r="AE56" s="8"/>
      <c r="AF56" s="8"/>
      <c r="AG56" s="8"/>
      <c r="AH56" s="8"/>
      <c r="AI56" s="8"/>
      <c r="AJ56" s="8"/>
      <c r="AK56" s="8">
        <f t="shared" si="0"/>
        <v>0</v>
      </c>
      <c r="AL56" s="8">
        <f t="shared" si="1"/>
        <v>0</v>
      </c>
      <c r="AM56" s="9"/>
    </row>
    <row r="57" spans="1:39" ht="24.95" customHeight="1">
      <c r="A57" s="10" t="s">
        <v>94</v>
      </c>
      <c r="B57" s="8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>
        <f t="shared" si="2"/>
        <v>0</v>
      </c>
      <c r="AD57" s="8"/>
      <c r="AE57" s="8"/>
      <c r="AF57" s="8"/>
      <c r="AG57" s="8"/>
      <c r="AH57" s="8"/>
      <c r="AI57" s="8"/>
      <c r="AJ57" s="8"/>
      <c r="AK57" s="8">
        <f t="shared" si="0"/>
        <v>0</v>
      </c>
      <c r="AL57" s="8">
        <f t="shared" si="1"/>
        <v>0</v>
      </c>
      <c r="AM57" s="9"/>
    </row>
    <row r="58" spans="1:39" ht="24.95" customHeight="1">
      <c r="A58" s="10" t="s">
        <v>95</v>
      </c>
      <c r="B58" s="8"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>
        <f t="shared" si="2"/>
        <v>0</v>
      </c>
      <c r="AD58" s="8"/>
      <c r="AE58" s="8"/>
      <c r="AF58" s="8"/>
      <c r="AG58" s="8"/>
      <c r="AH58" s="8"/>
      <c r="AI58" s="8"/>
      <c r="AJ58" s="8"/>
      <c r="AK58" s="8">
        <f t="shared" si="0"/>
        <v>0</v>
      </c>
      <c r="AL58" s="8">
        <f t="shared" si="1"/>
        <v>0</v>
      </c>
      <c r="AM58" s="9"/>
    </row>
    <row r="59" spans="1:39" ht="24.95" customHeight="1">
      <c r="A59" s="10" t="s">
        <v>96</v>
      </c>
      <c r="B59" s="8"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>
        <f t="shared" si="2"/>
        <v>0</v>
      </c>
      <c r="AD59" s="8"/>
      <c r="AE59" s="8"/>
      <c r="AF59" s="8"/>
      <c r="AG59" s="8"/>
      <c r="AH59" s="8"/>
      <c r="AI59" s="8"/>
      <c r="AJ59" s="8"/>
      <c r="AK59" s="8">
        <f t="shared" si="0"/>
        <v>0</v>
      </c>
      <c r="AL59" s="8">
        <f t="shared" si="1"/>
        <v>0</v>
      </c>
      <c r="AM59" s="9"/>
    </row>
    <row r="60" spans="1:39" ht="24.95" customHeight="1">
      <c r="A60" s="7" t="s">
        <v>97</v>
      </c>
      <c r="B60" s="8">
        <v>7200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>
        <f>+Z61*2</f>
        <v>0</v>
      </c>
      <c r="AB60" s="8"/>
      <c r="AC60" s="8">
        <f t="shared" si="2"/>
        <v>0</v>
      </c>
      <c r="AD60" s="8"/>
      <c r="AE60" s="8"/>
      <c r="AF60" s="8"/>
      <c r="AG60" s="8"/>
      <c r="AH60" s="8"/>
      <c r="AI60" s="8"/>
      <c r="AJ60" s="8">
        <v>1</v>
      </c>
      <c r="AK60" s="8">
        <f t="shared" si="0"/>
        <v>-1</v>
      </c>
      <c r="AL60" s="8">
        <f t="shared" si="1"/>
        <v>7199</v>
      </c>
      <c r="AM60" s="9"/>
    </row>
    <row r="61" spans="1:39" ht="24.95" customHeight="1">
      <c r="A61" s="10" t="s">
        <v>98</v>
      </c>
      <c r="B61" s="8"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>
        <f t="shared" si="2"/>
        <v>0</v>
      </c>
      <c r="AD61" s="8"/>
      <c r="AE61" s="8"/>
      <c r="AF61" s="8"/>
      <c r="AG61" s="8"/>
      <c r="AH61" s="8"/>
      <c r="AI61" s="8"/>
      <c r="AJ61" s="8"/>
      <c r="AK61" s="8">
        <f t="shared" si="0"/>
        <v>0</v>
      </c>
      <c r="AL61" s="8">
        <f t="shared" si="1"/>
        <v>0</v>
      </c>
      <c r="AM61" s="9"/>
    </row>
    <row r="62" spans="1:39" ht="24.95" customHeight="1">
      <c r="A62" s="10" t="s">
        <v>99</v>
      </c>
      <c r="B62" s="8"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>
        <f t="shared" si="2"/>
        <v>0</v>
      </c>
      <c r="AD62" s="8"/>
      <c r="AE62" s="8"/>
      <c r="AF62" s="8"/>
      <c r="AG62" s="8"/>
      <c r="AH62" s="8"/>
      <c r="AI62" s="8"/>
      <c r="AJ62" s="8"/>
      <c r="AK62" s="8">
        <f t="shared" si="0"/>
        <v>0</v>
      </c>
      <c r="AL62" s="8">
        <f t="shared" si="1"/>
        <v>0</v>
      </c>
      <c r="AM62" s="9"/>
    </row>
    <row r="63" spans="1:39" ht="24.95" customHeight="1">
      <c r="A63" s="10" t="s">
        <v>100</v>
      </c>
      <c r="B63" s="8"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>
        <f t="shared" si="2"/>
        <v>0</v>
      </c>
      <c r="AD63" s="8"/>
      <c r="AE63" s="8"/>
      <c r="AF63" s="8"/>
      <c r="AG63" s="8"/>
      <c r="AH63" s="8"/>
      <c r="AI63" s="8"/>
      <c r="AJ63" s="8"/>
      <c r="AK63" s="8">
        <f t="shared" si="0"/>
        <v>0</v>
      </c>
      <c r="AL63" s="8">
        <f t="shared" si="1"/>
        <v>0</v>
      </c>
      <c r="AM63" s="9"/>
    </row>
    <row r="64" spans="1:39" ht="24.95" customHeight="1">
      <c r="A64" s="10" t="s">
        <v>101</v>
      </c>
      <c r="B64" s="8"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>
        <f t="shared" si="2"/>
        <v>0</v>
      </c>
      <c r="AD64" s="8"/>
      <c r="AE64" s="8"/>
      <c r="AF64" s="8"/>
      <c r="AG64" s="8"/>
      <c r="AH64" s="8"/>
      <c r="AI64" s="8"/>
      <c r="AJ64" s="8"/>
      <c r="AK64" s="8">
        <f t="shared" si="0"/>
        <v>0</v>
      </c>
      <c r="AL64" s="8">
        <f t="shared" si="1"/>
        <v>0</v>
      </c>
      <c r="AM64" s="9"/>
    </row>
    <row r="65" spans="1:39" ht="24.95" customHeight="1">
      <c r="A65" s="10" t="s">
        <v>102</v>
      </c>
      <c r="B65" s="8"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>
        <f t="shared" si="2"/>
        <v>0</v>
      </c>
      <c r="AD65" s="8"/>
      <c r="AE65" s="8"/>
      <c r="AF65" s="8"/>
      <c r="AG65" s="8"/>
      <c r="AH65" s="8"/>
      <c r="AI65" s="8"/>
      <c r="AJ65" s="8"/>
      <c r="AK65" s="8">
        <f t="shared" si="0"/>
        <v>0</v>
      </c>
      <c r="AL65" s="8">
        <f t="shared" si="1"/>
        <v>0</v>
      </c>
      <c r="AM65" s="11"/>
    </row>
    <row r="66" spans="1:39" ht="24.95" customHeight="1">
      <c r="A66" s="10" t="s">
        <v>103</v>
      </c>
      <c r="B66" s="8">
        <v>1194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>
        <f>+Y65*2</f>
        <v>0</v>
      </c>
      <c r="Y66" s="8"/>
      <c r="Z66" s="8"/>
      <c r="AA66" s="8">
        <f>+Z67*2+Z93*1+Z92*1</f>
        <v>0</v>
      </c>
      <c r="AB66" s="8"/>
      <c r="AC66" s="8">
        <f t="shared" si="2"/>
        <v>0</v>
      </c>
      <c r="AD66" s="8"/>
      <c r="AE66" s="8"/>
      <c r="AF66" s="8"/>
      <c r="AG66" s="8"/>
      <c r="AH66" s="8"/>
      <c r="AI66" s="8"/>
      <c r="AJ66" s="8">
        <v>1</v>
      </c>
      <c r="AK66" s="8">
        <f t="shared" ref="AK66:AK129" si="3">SUM((D66+P66+G66+L66+S66+X66+Z66+AD66+M66+J66+V66+AB66+F66+AG66+O66+AI66)+(-N66-E66-R66-Q66-T66-Y66-AA66-AE66-AJ66-K66-I66-H66-U66-AC66-AF66-AH66-W66))</f>
        <v>-1</v>
      </c>
      <c r="AL66" s="8">
        <f t="shared" ref="AL66:AL129" si="4">B66+AK66</f>
        <v>1193</v>
      </c>
      <c r="AM66" s="9"/>
    </row>
    <row r="67" spans="1:39" ht="24.95" customHeight="1">
      <c r="A67" s="10" t="s">
        <v>104</v>
      </c>
      <c r="B67" s="8"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>
        <f t="shared" si="2"/>
        <v>0</v>
      </c>
      <c r="AD67" s="8"/>
      <c r="AE67" s="8"/>
      <c r="AF67" s="8"/>
      <c r="AG67" s="8"/>
      <c r="AH67" s="8"/>
      <c r="AI67" s="8"/>
      <c r="AJ67" s="8"/>
      <c r="AK67" s="8">
        <f t="shared" si="3"/>
        <v>0</v>
      </c>
      <c r="AL67" s="8">
        <f t="shared" si="4"/>
        <v>0</v>
      </c>
      <c r="AM67" s="9"/>
    </row>
    <row r="68" spans="1:39" ht="24.95" customHeight="1">
      <c r="A68" s="10" t="s">
        <v>105</v>
      </c>
      <c r="B68" s="8"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>
        <f t="shared" si="2"/>
        <v>0</v>
      </c>
      <c r="AD68" s="8"/>
      <c r="AE68" s="8"/>
      <c r="AF68" s="8"/>
      <c r="AG68" s="8"/>
      <c r="AH68" s="8"/>
      <c r="AI68" s="8"/>
      <c r="AJ68" s="8"/>
      <c r="AK68" s="8">
        <f t="shared" si="3"/>
        <v>0</v>
      </c>
      <c r="AL68" s="8">
        <f t="shared" si="4"/>
        <v>0</v>
      </c>
      <c r="AM68" s="9"/>
    </row>
    <row r="69" spans="1:39" ht="24.95" customHeight="1">
      <c r="A69" s="10" t="s">
        <v>106</v>
      </c>
      <c r="B69" s="8"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>
        <f t="shared" si="2"/>
        <v>0</v>
      </c>
      <c r="AD69" s="8"/>
      <c r="AE69" s="8"/>
      <c r="AF69" s="8"/>
      <c r="AG69" s="8"/>
      <c r="AH69" s="8"/>
      <c r="AI69" s="8"/>
      <c r="AJ69" s="8"/>
      <c r="AK69" s="8">
        <f t="shared" si="3"/>
        <v>0</v>
      </c>
      <c r="AL69" s="8">
        <f t="shared" si="4"/>
        <v>0</v>
      </c>
      <c r="AM69" s="9"/>
    </row>
    <row r="70" spans="1:39" ht="24.95" customHeight="1">
      <c r="A70" s="10" t="s">
        <v>107</v>
      </c>
      <c r="B70" s="8">
        <v>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>
        <f t="shared" ref="AC70:AC133" si="5">+AB70</f>
        <v>0</v>
      </c>
      <c r="AD70" s="8"/>
      <c r="AE70" s="8"/>
      <c r="AF70" s="8"/>
      <c r="AG70" s="8"/>
      <c r="AH70" s="8"/>
      <c r="AI70" s="8"/>
      <c r="AJ70" s="8"/>
      <c r="AK70" s="8">
        <f t="shared" si="3"/>
        <v>0</v>
      </c>
      <c r="AL70" s="8">
        <f t="shared" si="4"/>
        <v>0</v>
      </c>
      <c r="AM70" s="9"/>
    </row>
    <row r="71" spans="1:39" ht="24.95" customHeight="1">
      <c r="A71" s="12" t="s">
        <v>108</v>
      </c>
      <c r="B71" s="13">
        <v>4229</v>
      </c>
      <c r="C71" s="8"/>
      <c r="D71" s="8"/>
      <c r="E71" s="13"/>
      <c r="F71" s="13"/>
      <c r="G71" s="13"/>
      <c r="H71" s="8"/>
      <c r="I71" s="13"/>
      <c r="J71" s="13"/>
      <c r="K71" s="13"/>
      <c r="L71" s="8"/>
      <c r="M71" s="13"/>
      <c r="N71" s="8"/>
      <c r="O71" s="13"/>
      <c r="P71" s="13"/>
      <c r="Q71" s="13"/>
      <c r="R71" s="8"/>
      <c r="S71" s="13"/>
      <c r="T71" s="13"/>
      <c r="U71" s="13"/>
      <c r="V71" s="13"/>
      <c r="W71" s="13"/>
      <c r="X71" s="13"/>
      <c r="Y71" s="13"/>
      <c r="Z71" s="13"/>
      <c r="AA71" s="13">
        <f>Z72*2</f>
        <v>0</v>
      </c>
      <c r="AB71" s="13"/>
      <c r="AC71" s="13">
        <f t="shared" si="5"/>
        <v>0</v>
      </c>
      <c r="AD71" s="13"/>
      <c r="AE71" s="13"/>
      <c r="AF71" s="8"/>
      <c r="AG71" s="13"/>
      <c r="AH71" s="13"/>
      <c r="AI71" s="13"/>
      <c r="AJ71" s="8">
        <v>7</v>
      </c>
      <c r="AK71" s="13">
        <f t="shared" si="3"/>
        <v>-7</v>
      </c>
      <c r="AL71" s="13">
        <f t="shared" si="4"/>
        <v>4222</v>
      </c>
      <c r="AM71" s="14"/>
    </row>
    <row r="72" spans="1:39" ht="24.95" customHeight="1">
      <c r="A72" s="12" t="s">
        <v>109</v>
      </c>
      <c r="B72" s="13">
        <v>0</v>
      </c>
      <c r="C72" s="8"/>
      <c r="D72" s="8"/>
      <c r="E72" s="13"/>
      <c r="F72" s="13"/>
      <c r="G72" s="13"/>
      <c r="H72" s="8"/>
      <c r="I72" s="13"/>
      <c r="J72" s="13"/>
      <c r="K72" s="13"/>
      <c r="L72" s="8"/>
      <c r="M72" s="13"/>
      <c r="N72" s="8"/>
      <c r="O72" s="13"/>
      <c r="P72" s="13"/>
      <c r="Q72" s="13"/>
      <c r="R72" s="8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>
        <f t="shared" si="5"/>
        <v>0</v>
      </c>
      <c r="AD72" s="13"/>
      <c r="AE72" s="13"/>
      <c r="AF72" s="8"/>
      <c r="AG72" s="13"/>
      <c r="AH72" s="13"/>
      <c r="AI72" s="13"/>
      <c r="AJ72" s="8"/>
      <c r="AK72" s="13">
        <f t="shared" si="3"/>
        <v>0</v>
      </c>
      <c r="AL72" s="13">
        <f t="shared" si="4"/>
        <v>0</v>
      </c>
      <c r="AM72" s="14"/>
    </row>
    <row r="73" spans="1:39" ht="24.95" customHeight="1">
      <c r="A73" s="12" t="s">
        <v>110</v>
      </c>
      <c r="B73" s="13">
        <v>0</v>
      </c>
      <c r="C73" s="8"/>
      <c r="D73" s="8"/>
      <c r="E73" s="13"/>
      <c r="F73" s="13"/>
      <c r="G73" s="13"/>
      <c r="H73" s="8"/>
      <c r="I73" s="13"/>
      <c r="J73" s="13"/>
      <c r="K73" s="13"/>
      <c r="L73" s="8"/>
      <c r="M73" s="13"/>
      <c r="N73" s="8"/>
      <c r="O73" s="13"/>
      <c r="P73" s="13"/>
      <c r="Q73" s="13"/>
      <c r="R73" s="8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>
        <f t="shared" si="5"/>
        <v>0</v>
      </c>
      <c r="AD73" s="13"/>
      <c r="AE73" s="13"/>
      <c r="AF73" s="8"/>
      <c r="AG73" s="13"/>
      <c r="AH73" s="13"/>
      <c r="AI73" s="13"/>
      <c r="AJ73" s="8"/>
      <c r="AK73" s="13">
        <f t="shared" si="3"/>
        <v>0</v>
      </c>
      <c r="AL73" s="13">
        <f t="shared" si="4"/>
        <v>0</v>
      </c>
      <c r="AM73" s="14"/>
    </row>
    <row r="74" spans="1:39" ht="24.95" customHeight="1">
      <c r="A74" s="10" t="s">
        <v>111</v>
      </c>
      <c r="B74" s="8"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>
        <f t="shared" si="5"/>
        <v>0</v>
      </c>
      <c r="AD74" s="8"/>
      <c r="AE74" s="8"/>
      <c r="AF74" s="8"/>
      <c r="AG74" s="8"/>
      <c r="AH74" s="8"/>
      <c r="AI74" s="8"/>
      <c r="AJ74" s="8"/>
      <c r="AK74" s="8">
        <f t="shared" si="3"/>
        <v>0</v>
      </c>
      <c r="AL74" s="8">
        <f t="shared" si="4"/>
        <v>0</v>
      </c>
      <c r="AM74" s="9"/>
    </row>
    <row r="75" spans="1:39" ht="24.95" customHeight="1">
      <c r="A75" s="10" t="s">
        <v>112</v>
      </c>
      <c r="B75" s="8">
        <v>359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>
        <f>+Z76*2</f>
        <v>0</v>
      </c>
      <c r="AB75" s="8"/>
      <c r="AC75" s="8">
        <f t="shared" si="5"/>
        <v>0</v>
      </c>
      <c r="AD75" s="8"/>
      <c r="AE75" s="8"/>
      <c r="AF75" s="8"/>
      <c r="AG75" s="8"/>
      <c r="AH75" s="8"/>
      <c r="AI75" s="8"/>
      <c r="AJ75" s="8"/>
      <c r="AK75" s="8">
        <f t="shared" si="3"/>
        <v>0</v>
      </c>
      <c r="AL75" s="8">
        <f t="shared" si="4"/>
        <v>359</v>
      </c>
      <c r="AM75" s="11"/>
    </row>
    <row r="76" spans="1:39" ht="24.95" customHeight="1">
      <c r="A76" s="10" t="s">
        <v>113</v>
      </c>
      <c r="B76" s="8"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>
        <f t="shared" si="5"/>
        <v>0</v>
      </c>
      <c r="AD76" s="8"/>
      <c r="AE76" s="8"/>
      <c r="AF76" s="8"/>
      <c r="AG76" s="8"/>
      <c r="AH76" s="8"/>
      <c r="AI76" s="8"/>
      <c r="AJ76" s="8"/>
      <c r="AK76" s="8">
        <f t="shared" si="3"/>
        <v>0</v>
      </c>
      <c r="AL76" s="8">
        <f t="shared" si="4"/>
        <v>0</v>
      </c>
      <c r="AM76" s="9"/>
    </row>
    <row r="77" spans="1:39" ht="24.95" customHeight="1">
      <c r="A77" s="10" t="s">
        <v>114</v>
      </c>
      <c r="B77" s="8"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>
        <f>Z80*2</f>
        <v>0</v>
      </c>
      <c r="AB77" s="8"/>
      <c r="AC77" s="8">
        <f t="shared" si="5"/>
        <v>0</v>
      </c>
      <c r="AD77" s="8"/>
      <c r="AE77" s="8">
        <f>+AD79</f>
        <v>0</v>
      </c>
      <c r="AF77" s="8"/>
      <c r="AG77" s="8"/>
      <c r="AH77" s="8"/>
      <c r="AI77" s="8"/>
      <c r="AJ77" s="8"/>
      <c r="AK77" s="8">
        <f t="shared" si="3"/>
        <v>0</v>
      </c>
      <c r="AL77" s="8">
        <f t="shared" si="4"/>
        <v>0</v>
      </c>
      <c r="AM77" s="11"/>
    </row>
    <row r="78" spans="1:39" ht="24.95" customHeight="1">
      <c r="A78" s="10" t="s">
        <v>115</v>
      </c>
      <c r="B78" s="8"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>
        <f t="shared" si="5"/>
        <v>0</v>
      </c>
      <c r="AD78" s="8"/>
      <c r="AE78" s="8"/>
      <c r="AF78" s="8"/>
      <c r="AG78" s="8"/>
      <c r="AH78" s="8"/>
      <c r="AI78" s="8"/>
      <c r="AJ78" s="8"/>
      <c r="AK78" s="8">
        <f t="shared" si="3"/>
        <v>0</v>
      </c>
      <c r="AL78" s="8">
        <f t="shared" si="4"/>
        <v>0</v>
      </c>
      <c r="AM78" s="9"/>
    </row>
    <row r="79" spans="1:39" ht="24.95" customHeight="1">
      <c r="A79" s="10" t="s">
        <v>116</v>
      </c>
      <c r="B79" s="8"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>
        <f t="shared" si="5"/>
        <v>0</v>
      </c>
      <c r="AD79" s="8"/>
      <c r="AE79" s="8"/>
      <c r="AF79" s="8"/>
      <c r="AG79" s="8"/>
      <c r="AH79" s="8"/>
      <c r="AI79" s="8"/>
      <c r="AJ79" s="8"/>
      <c r="AK79" s="8">
        <f t="shared" si="3"/>
        <v>0</v>
      </c>
      <c r="AL79" s="8">
        <f t="shared" si="4"/>
        <v>0</v>
      </c>
      <c r="AM79" s="9"/>
    </row>
    <row r="80" spans="1:39" ht="24.95" customHeight="1">
      <c r="A80" s="10" t="s">
        <v>117</v>
      </c>
      <c r="B80" s="8"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>
        <f t="shared" si="5"/>
        <v>0</v>
      </c>
      <c r="AD80" s="8"/>
      <c r="AE80" s="8"/>
      <c r="AF80" s="8"/>
      <c r="AG80" s="8"/>
      <c r="AH80" s="8"/>
      <c r="AI80" s="8"/>
      <c r="AJ80" s="8"/>
      <c r="AK80" s="8">
        <f t="shared" si="3"/>
        <v>0</v>
      </c>
      <c r="AL80" s="8">
        <f t="shared" si="4"/>
        <v>0</v>
      </c>
      <c r="AM80" s="9"/>
    </row>
    <row r="81" spans="1:39" ht="24.95" customHeight="1">
      <c r="A81" s="10" t="s">
        <v>118</v>
      </c>
      <c r="B81" s="8">
        <v>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>
        <f t="shared" si="5"/>
        <v>0</v>
      </c>
      <c r="AD81" s="8"/>
      <c r="AE81" s="8"/>
      <c r="AF81" s="8"/>
      <c r="AG81" s="8"/>
      <c r="AH81" s="8"/>
      <c r="AI81" s="8"/>
      <c r="AJ81" s="8"/>
      <c r="AK81" s="8">
        <f t="shared" si="3"/>
        <v>0</v>
      </c>
      <c r="AL81" s="8">
        <f t="shared" si="4"/>
        <v>0</v>
      </c>
      <c r="AM81" s="9"/>
    </row>
    <row r="82" spans="1:39" ht="24.95" customHeight="1">
      <c r="A82" s="10" t="s">
        <v>119</v>
      </c>
      <c r="B82" s="8"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>
        <f t="shared" si="5"/>
        <v>0</v>
      </c>
      <c r="AD82" s="8"/>
      <c r="AE82" s="8"/>
      <c r="AF82" s="8"/>
      <c r="AG82" s="8"/>
      <c r="AH82" s="8"/>
      <c r="AI82" s="8"/>
      <c r="AJ82" s="8"/>
      <c r="AK82" s="8">
        <f t="shared" si="3"/>
        <v>0</v>
      </c>
      <c r="AL82" s="8">
        <f t="shared" si="4"/>
        <v>0</v>
      </c>
      <c r="AM82" s="9"/>
    </row>
    <row r="83" spans="1:39" ht="24.95" customHeight="1">
      <c r="A83" s="10" t="s">
        <v>120</v>
      </c>
      <c r="B83" s="8"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>
        <f t="shared" si="5"/>
        <v>0</v>
      </c>
      <c r="AD83" s="8"/>
      <c r="AE83" s="8"/>
      <c r="AF83" s="8"/>
      <c r="AG83" s="8"/>
      <c r="AH83" s="8"/>
      <c r="AI83" s="8"/>
      <c r="AJ83" s="8"/>
      <c r="AK83" s="8">
        <f t="shared" si="3"/>
        <v>0</v>
      </c>
      <c r="AL83" s="8">
        <f t="shared" si="4"/>
        <v>0</v>
      </c>
      <c r="AM83" s="9"/>
    </row>
    <row r="84" spans="1:39" ht="24.95" customHeight="1">
      <c r="A84" s="10" t="s">
        <v>121</v>
      </c>
      <c r="B84" s="8">
        <v>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>
        <f>+Y85*2</f>
        <v>830</v>
      </c>
      <c r="Y84" s="8"/>
      <c r="Z84" s="8"/>
      <c r="AA84" s="8"/>
      <c r="AB84" s="8"/>
      <c r="AC84" s="8">
        <f t="shared" si="5"/>
        <v>0</v>
      </c>
      <c r="AD84" s="8"/>
      <c r="AE84" s="8"/>
      <c r="AF84" s="8"/>
      <c r="AG84" s="8"/>
      <c r="AH84" s="8"/>
      <c r="AI84" s="8"/>
      <c r="AJ84" s="8">
        <v>831</v>
      </c>
      <c r="AK84" s="8">
        <f t="shared" si="3"/>
        <v>-1</v>
      </c>
      <c r="AL84" s="8">
        <f t="shared" si="4"/>
        <v>0</v>
      </c>
      <c r="AM84" s="9"/>
    </row>
    <row r="85" spans="1:39" ht="24.95" customHeight="1">
      <c r="A85" s="10" t="s">
        <v>122</v>
      </c>
      <c r="B85" s="8">
        <v>12064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>
        <v>415</v>
      </c>
      <c r="Z85" s="8"/>
      <c r="AA85" s="8">
        <f>+Z87*2</f>
        <v>0</v>
      </c>
      <c r="AB85" s="8"/>
      <c r="AC85" s="8">
        <f t="shared" si="5"/>
        <v>0</v>
      </c>
      <c r="AD85" s="8"/>
      <c r="AE85" s="8"/>
      <c r="AF85" s="8"/>
      <c r="AG85" s="8"/>
      <c r="AH85" s="8"/>
      <c r="AI85" s="8"/>
      <c r="AJ85" s="8"/>
      <c r="AK85" s="8">
        <f t="shared" si="3"/>
        <v>-415</v>
      </c>
      <c r="AL85" s="8">
        <f t="shared" si="4"/>
        <v>11649</v>
      </c>
      <c r="AM85" s="9"/>
    </row>
    <row r="86" spans="1:39" ht="24.95" customHeight="1">
      <c r="A86" s="10" t="s">
        <v>123</v>
      </c>
      <c r="B86" s="8"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>
        <f t="shared" si="5"/>
        <v>0</v>
      </c>
      <c r="AD86" s="8"/>
      <c r="AE86" s="8"/>
      <c r="AF86" s="8"/>
      <c r="AG86" s="8"/>
      <c r="AH86" s="8"/>
      <c r="AI86" s="8"/>
      <c r="AJ86" s="8"/>
      <c r="AK86" s="8">
        <f t="shared" si="3"/>
        <v>0</v>
      </c>
      <c r="AL86" s="8">
        <f t="shared" si="4"/>
        <v>0</v>
      </c>
      <c r="AM86" s="9"/>
    </row>
    <row r="87" spans="1:39" ht="24.95" customHeight="1">
      <c r="A87" s="10" t="s">
        <v>124</v>
      </c>
      <c r="B87" s="8"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>
        <f t="shared" si="5"/>
        <v>0</v>
      </c>
      <c r="AD87" s="8"/>
      <c r="AE87" s="8"/>
      <c r="AF87" s="8"/>
      <c r="AG87" s="8"/>
      <c r="AH87" s="8"/>
      <c r="AI87" s="8"/>
      <c r="AJ87" s="8"/>
      <c r="AK87" s="8">
        <f t="shared" si="3"/>
        <v>0</v>
      </c>
      <c r="AL87" s="8">
        <f t="shared" si="4"/>
        <v>0</v>
      </c>
      <c r="AM87" s="9"/>
    </row>
    <row r="88" spans="1:39" ht="24.95" customHeight="1">
      <c r="A88" s="12" t="s">
        <v>125</v>
      </c>
      <c r="B88" s="13">
        <v>1448</v>
      </c>
      <c r="C88" s="8"/>
      <c r="D88" s="8"/>
      <c r="E88" s="13"/>
      <c r="F88" s="13"/>
      <c r="G88" s="13"/>
      <c r="H88" s="8"/>
      <c r="I88" s="13"/>
      <c r="J88" s="13"/>
      <c r="K88" s="13"/>
      <c r="L88" s="8"/>
      <c r="M88" s="13"/>
      <c r="N88" s="8"/>
      <c r="O88" s="13"/>
      <c r="P88" s="13"/>
      <c r="Q88" s="13"/>
      <c r="R88" s="8"/>
      <c r="S88" s="13"/>
      <c r="T88" s="13"/>
      <c r="U88" s="13"/>
      <c r="V88" s="13"/>
      <c r="W88" s="13"/>
      <c r="X88" s="13"/>
      <c r="Y88" s="13"/>
      <c r="Z88" s="13"/>
      <c r="AA88" s="13">
        <f>+Z93+Z91*2</f>
        <v>0</v>
      </c>
      <c r="AB88" s="13"/>
      <c r="AC88" s="13">
        <f t="shared" si="5"/>
        <v>0</v>
      </c>
      <c r="AD88" s="13"/>
      <c r="AE88" s="13">
        <f>+AD90</f>
        <v>0</v>
      </c>
      <c r="AF88" s="8"/>
      <c r="AG88" s="13"/>
      <c r="AH88" s="13"/>
      <c r="AI88" s="13"/>
      <c r="AJ88" s="8"/>
      <c r="AK88" s="13">
        <f t="shared" si="3"/>
        <v>0</v>
      </c>
      <c r="AL88" s="13">
        <f t="shared" si="4"/>
        <v>1448</v>
      </c>
      <c r="AM88" s="14"/>
    </row>
    <row r="89" spans="1:39" ht="24.95" customHeight="1">
      <c r="A89" s="12" t="s">
        <v>126</v>
      </c>
      <c r="B89" s="13">
        <v>0</v>
      </c>
      <c r="C89" s="8"/>
      <c r="D89" s="8"/>
      <c r="E89" s="13"/>
      <c r="F89" s="13"/>
      <c r="G89" s="13"/>
      <c r="H89" s="8"/>
      <c r="I89" s="13"/>
      <c r="J89" s="13"/>
      <c r="K89" s="13"/>
      <c r="L89" s="8"/>
      <c r="M89" s="13"/>
      <c r="N89" s="8"/>
      <c r="O89" s="13"/>
      <c r="P89" s="13"/>
      <c r="Q89" s="13"/>
      <c r="R89" s="8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>
        <f t="shared" si="5"/>
        <v>0</v>
      </c>
      <c r="AD89" s="13"/>
      <c r="AE89" s="13">
        <f>+AD91</f>
        <v>0</v>
      </c>
      <c r="AF89" s="8"/>
      <c r="AG89" s="13"/>
      <c r="AH89" s="13"/>
      <c r="AI89" s="13"/>
      <c r="AJ89" s="8"/>
      <c r="AK89" s="13">
        <f t="shared" si="3"/>
        <v>0</v>
      </c>
      <c r="AL89" s="13">
        <f t="shared" si="4"/>
        <v>0</v>
      </c>
      <c r="AM89" s="14"/>
    </row>
    <row r="90" spans="1:39" ht="24.95" customHeight="1">
      <c r="A90" s="12" t="s">
        <v>127</v>
      </c>
      <c r="B90" s="13">
        <v>0</v>
      </c>
      <c r="C90" s="8"/>
      <c r="D90" s="8"/>
      <c r="E90" s="13"/>
      <c r="F90" s="13"/>
      <c r="G90" s="13"/>
      <c r="H90" s="8"/>
      <c r="I90" s="13"/>
      <c r="J90" s="13"/>
      <c r="K90" s="13"/>
      <c r="L90" s="8"/>
      <c r="M90" s="13"/>
      <c r="N90" s="8"/>
      <c r="O90" s="13"/>
      <c r="P90" s="13"/>
      <c r="Q90" s="13"/>
      <c r="R90" s="8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>
        <f t="shared" si="5"/>
        <v>0</v>
      </c>
      <c r="AD90" s="13"/>
      <c r="AE90" s="13"/>
      <c r="AF90" s="8"/>
      <c r="AG90" s="13"/>
      <c r="AH90" s="13"/>
      <c r="AI90" s="13"/>
      <c r="AJ90" s="8"/>
      <c r="AK90" s="13">
        <f t="shared" si="3"/>
        <v>0</v>
      </c>
      <c r="AL90" s="13">
        <f t="shared" si="4"/>
        <v>0</v>
      </c>
      <c r="AM90" s="14"/>
    </row>
    <row r="91" spans="1:39" ht="24.95" customHeight="1">
      <c r="A91" s="12" t="s">
        <v>128</v>
      </c>
      <c r="B91" s="13">
        <v>0</v>
      </c>
      <c r="C91" s="8"/>
      <c r="D91" s="8"/>
      <c r="E91" s="13"/>
      <c r="F91" s="13"/>
      <c r="G91" s="13"/>
      <c r="H91" s="8"/>
      <c r="I91" s="13"/>
      <c r="J91" s="13"/>
      <c r="K91" s="13"/>
      <c r="L91" s="8"/>
      <c r="M91" s="13"/>
      <c r="N91" s="8"/>
      <c r="O91" s="13"/>
      <c r="P91" s="13"/>
      <c r="Q91" s="13"/>
      <c r="R91" s="8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>
        <f t="shared" si="5"/>
        <v>0</v>
      </c>
      <c r="AD91" s="13"/>
      <c r="AE91" s="13"/>
      <c r="AF91" s="8"/>
      <c r="AG91" s="13"/>
      <c r="AH91" s="13"/>
      <c r="AI91" s="13"/>
      <c r="AJ91" s="8"/>
      <c r="AK91" s="13">
        <f t="shared" si="3"/>
        <v>0</v>
      </c>
      <c r="AL91" s="13">
        <f t="shared" si="4"/>
        <v>0</v>
      </c>
      <c r="AM91" s="14"/>
    </row>
    <row r="92" spans="1:39" ht="24.95" customHeight="1">
      <c r="A92" s="15" t="s">
        <v>129</v>
      </c>
      <c r="B92" s="13">
        <v>0</v>
      </c>
      <c r="C92" s="8"/>
      <c r="D92" s="8"/>
      <c r="E92" s="13"/>
      <c r="F92" s="13"/>
      <c r="G92" s="13"/>
      <c r="H92" s="8"/>
      <c r="I92" s="13"/>
      <c r="J92" s="13"/>
      <c r="K92" s="13"/>
      <c r="L92" s="8"/>
      <c r="M92" s="13"/>
      <c r="N92" s="8"/>
      <c r="O92" s="13"/>
      <c r="P92" s="13"/>
      <c r="Q92" s="13"/>
      <c r="R92" s="8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>
        <f t="shared" si="5"/>
        <v>0</v>
      </c>
      <c r="AD92" s="13"/>
      <c r="AE92" s="13">
        <f>+AD93</f>
        <v>0</v>
      </c>
      <c r="AF92" s="8"/>
      <c r="AG92" s="13"/>
      <c r="AH92" s="13"/>
      <c r="AI92" s="13"/>
      <c r="AJ92" s="8"/>
      <c r="AK92" s="13">
        <f t="shared" si="3"/>
        <v>0</v>
      </c>
      <c r="AL92" s="13">
        <f t="shared" si="4"/>
        <v>0</v>
      </c>
      <c r="AM92" s="14"/>
    </row>
    <row r="93" spans="1:39" ht="24.95" customHeight="1">
      <c r="A93" s="15" t="s">
        <v>130</v>
      </c>
      <c r="B93" s="13">
        <v>0</v>
      </c>
      <c r="C93" s="8"/>
      <c r="D93" s="8"/>
      <c r="E93" s="13"/>
      <c r="F93" s="13"/>
      <c r="G93" s="13"/>
      <c r="H93" s="8"/>
      <c r="I93" s="13"/>
      <c r="J93" s="13"/>
      <c r="K93" s="13"/>
      <c r="L93" s="8"/>
      <c r="M93" s="13"/>
      <c r="N93" s="8"/>
      <c r="O93" s="13"/>
      <c r="P93" s="13"/>
      <c r="Q93" s="13"/>
      <c r="R93" s="8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>
        <f t="shared" si="5"/>
        <v>0</v>
      </c>
      <c r="AD93" s="13"/>
      <c r="AE93" s="13"/>
      <c r="AF93" s="8"/>
      <c r="AG93" s="13"/>
      <c r="AH93" s="13"/>
      <c r="AI93" s="13"/>
      <c r="AJ93" s="8"/>
      <c r="AK93" s="13">
        <f t="shared" si="3"/>
        <v>0</v>
      </c>
      <c r="AL93" s="13">
        <f t="shared" si="4"/>
        <v>0</v>
      </c>
      <c r="AM93" s="14"/>
    </row>
    <row r="94" spans="1:39" ht="24.95" customHeight="1">
      <c r="A94" s="12" t="s">
        <v>131</v>
      </c>
      <c r="B94" s="13">
        <v>0</v>
      </c>
      <c r="C94" s="8"/>
      <c r="D94" s="8"/>
      <c r="E94" s="13"/>
      <c r="F94" s="13"/>
      <c r="G94" s="13"/>
      <c r="H94" s="8"/>
      <c r="I94" s="13"/>
      <c r="J94" s="13"/>
      <c r="K94" s="13"/>
      <c r="L94" s="8"/>
      <c r="M94" s="13"/>
      <c r="N94" s="8"/>
      <c r="O94" s="13"/>
      <c r="P94" s="13"/>
      <c r="Q94" s="13"/>
      <c r="R94" s="8"/>
      <c r="S94" s="13"/>
      <c r="T94" s="13"/>
      <c r="U94" s="13"/>
      <c r="V94" s="13"/>
      <c r="W94" s="13"/>
      <c r="X94" s="13"/>
      <c r="Y94" s="13"/>
      <c r="Z94" s="13"/>
      <c r="AA94" s="13">
        <f>+Z96*2</f>
        <v>0</v>
      </c>
      <c r="AB94" s="13"/>
      <c r="AC94" s="13">
        <f t="shared" si="5"/>
        <v>0</v>
      </c>
      <c r="AD94" s="13"/>
      <c r="AE94" s="13">
        <f>+AD95</f>
        <v>0</v>
      </c>
      <c r="AF94" s="8"/>
      <c r="AG94" s="13"/>
      <c r="AH94" s="13"/>
      <c r="AI94" s="13"/>
      <c r="AJ94" s="8"/>
      <c r="AK94" s="13">
        <f t="shared" si="3"/>
        <v>0</v>
      </c>
      <c r="AL94" s="13">
        <f t="shared" si="4"/>
        <v>0</v>
      </c>
      <c r="AM94" s="14"/>
    </row>
    <row r="95" spans="1:39" ht="24.95" customHeight="1">
      <c r="A95" s="10" t="s">
        <v>132</v>
      </c>
      <c r="B95" s="8"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>
        <f t="shared" si="5"/>
        <v>0</v>
      </c>
      <c r="AD95" s="8"/>
      <c r="AE95" s="8"/>
      <c r="AF95" s="8"/>
      <c r="AG95" s="8"/>
      <c r="AH95" s="8"/>
      <c r="AI95" s="8"/>
      <c r="AJ95" s="8"/>
      <c r="AK95" s="8">
        <f t="shared" si="3"/>
        <v>0</v>
      </c>
      <c r="AL95" s="8">
        <f t="shared" si="4"/>
        <v>0</v>
      </c>
      <c r="AM95" s="9"/>
    </row>
    <row r="96" spans="1:39" ht="24.95" customHeight="1">
      <c r="A96" s="10" t="s">
        <v>133</v>
      </c>
      <c r="B96" s="8"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>
        <f t="shared" si="5"/>
        <v>0</v>
      </c>
      <c r="AD96" s="8"/>
      <c r="AE96" s="8"/>
      <c r="AF96" s="8"/>
      <c r="AG96" s="8"/>
      <c r="AH96" s="8"/>
      <c r="AI96" s="8"/>
      <c r="AJ96" s="8"/>
      <c r="AK96" s="8">
        <f t="shared" si="3"/>
        <v>0</v>
      </c>
      <c r="AL96" s="8">
        <f t="shared" si="4"/>
        <v>0</v>
      </c>
      <c r="AM96" s="9"/>
    </row>
    <row r="97" spans="1:39" ht="24.95" customHeight="1">
      <c r="A97" s="10" t="s">
        <v>134</v>
      </c>
      <c r="B97" s="8"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>
        <f>+Z101*2</f>
        <v>0</v>
      </c>
      <c r="AB97" s="8"/>
      <c r="AC97" s="8">
        <f t="shared" si="5"/>
        <v>0</v>
      </c>
      <c r="AD97" s="8"/>
      <c r="AE97" s="8">
        <f>+AD100</f>
        <v>0</v>
      </c>
      <c r="AF97" s="8"/>
      <c r="AG97" s="8"/>
      <c r="AH97" s="8"/>
      <c r="AI97" s="8"/>
      <c r="AJ97" s="8"/>
      <c r="AK97" s="8">
        <f t="shared" si="3"/>
        <v>0</v>
      </c>
      <c r="AL97" s="8">
        <f t="shared" si="4"/>
        <v>0</v>
      </c>
      <c r="AM97" s="9"/>
    </row>
    <row r="98" spans="1:39" ht="24.95" customHeight="1">
      <c r="A98" s="10" t="s">
        <v>135</v>
      </c>
      <c r="B98" s="8"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>
        <f t="shared" si="5"/>
        <v>0</v>
      </c>
      <c r="AD98" s="8"/>
      <c r="AE98" s="8">
        <f>+AD103</f>
        <v>0</v>
      </c>
      <c r="AF98" s="8"/>
      <c r="AG98" s="8"/>
      <c r="AH98" s="8"/>
      <c r="AI98" s="8"/>
      <c r="AJ98" s="8"/>
      <c r="AK98" s="8">
        <f t="shared" si="3"/>
        <v>0</v>
      </c>
      <c r="AL98" s="8">
        <f t="shared" si="4"/>
        <v>0</v>
      </c>
      <c r="AM98" s="9"/>
    </row>
    <row r="99" spans="1:39" ht="24.95" customHeight="1">
      <c r="A99" s="10" t="s">
        <v>136</v>
      </c>
      <c r="B99" s="8"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>
        <f>+Z103*2</f>
        <v>0</v>
      </c>
      <c r="AB99" s="8"/>
      <c r="AC99" s="8">
        <f t="shared" si="5"/>
        <v>0</v>
      </c>
      <c r="AD99" s="8"/>
      <c r="AE99" s="8">
        <f>+AD102</f>
        <v>0</v>
      </c>
      <c r="AF99" s="8"/>
      <c r="AG99" s="8"/>
      <c r="AH99" s="8"/>
      <c r="AI99" s="8"/>
      <c r="AJ99" s="8"/>
      <c r="AK99" s="8">
        <f t="shared" si="3"/>
        <v>0</v>
      </c>
      <c r="AL99" s="8">
        <f t="shared" si="4"/>
        <v>0</v>
      </c>
      <c r="AM99" s="9"/>
    </row>
    <row r="100" spans="1:39" ht="24.95" customHeight="1">
      <c r="A100" s="10" t="s">
        <v>137</v>
      </c>
      <c r="B100" s="8"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>
        <f t="shared" si="5"/>
        <v>0</v>
      </c>
      <c r="AD100" s="8"/>
      <c r="AE100" s="8"/>
      <c r="AF100" s="8"/>
      <c r="AG100" s="8"/>
      <c r="AH100" s="8"/>
      <c r="AI100" s="8"/>
      <c r="AJ100" s="8"/>
      <c r="AK100" s="8">
        <f t="shared" si="3"/>
        <v>0</v>
      </c>
      <c r="AL100" s="8">
        <f t="shared" si="4"/>
        <v>0</v>
      </c>
      <c r="AM100" s="9"/>
    </row>
    <row r="101" spans="1:39" ht="24.95" customHeight="1">
      <c r="A101" s="10" t="s">
        <v>138</v>
      </c>
      <c r="B101" s="8"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>
        <f t="shared" si="5"/>
        <v>0</v>
      </c>
      <c r="AD101" s="8"/>
      <c r="AE101" s="8"/>
      <c r="AF101" s="8"/>
      <c r="AG101" s="8"/>
      <c r="AH101" s="8"/>
      <c r="AI101" s="8"/>
      <c r="AJ101" s="8"/>
      <c r="AK101" s="8">
        <f t="shared" si="3"/>
        <v>0</v>
      </c>
      <c r="AL101" s="8">
        <f t="shared" si="4"/>
        <v>0</v>
      </c>
      <c r="AM101" s="9"/>
    </row>
    <row r="102" spans="1:39" ht="24.95" customHeight="1">
      <c r="A102" s="10" t="s">
        <v>139</v>
      </c>
      <c r="B102" s="8"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>
        <f t="shared" si="5"/>
        <v>0</v>
      </c>
      <c r="AD102" s="8"/>
      <c r="AE102" s="8"/>
      <c r="AF102" s="8"/>
      <c r="AG102" s="8"/>
      <c r="AH102" s="8"/>
      <c r="AI102" s="8"/>
      <c r="AJ102" s="8"/>
      <c r="AK102" s="8">
        <f t="shared" si="3"/>
        <v>0</v>
      </c>
      <c r="AL102" s="8">
        <f t="shared" si="4"/>
        <v>0</v>
      </c>
      <c r="AM102" s="9"/>
    </row>
    <row r="103" spans="1:39" ht="24.95" customHeight="1">
      <c r="A103" s="10" t="s">
        <v>140</v>
      </c>
      <c r="B103" s="8">
        <v>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>
        <f t="shared" si="5"/>
        <v>0</v>
      </c>
      <c r="AD103" s="8"/>
      <c r="AE103" s="8"/>
      <c r="AF103" s="8"/>
      <c r="AG103" s="8"/>
      <c r="AH103" s="8"/>
      <c r="AI103" s="8"/>
      <c r="AJ103" s="8"/>
      <c r="AK103" s="8">
        <f t="shared" si="3"/>
        <v>0</v>
      </c>
      <c r="AL103" s="8">
        <f t="shared" si="4"/>
        <v>0</v>
      </c>
      <c r="AM103" s="9"/>
    </row>
    <row r="104" spans="1:39" ht="24.95" customHeight="1">
      <c r="A104" s="10" t="s">
        <v>141</v>
      </c>
      <c r="B104" s="8">
        <v>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>
        <f>+Z106*2</f>
        <v>0</v>
      </c>
      <c r="AB104" s="8"/>
      <c r="AC104" s="8">
        <f t="shared" si="5"/>
        <v>0</v>
      </c>
      <c r="AD104" s="8"/>
      <c r="AE104" s="8">
        <f>+AD105</f>
        <v>0</v>
      </c>
      <c r="AF104" s="8"/>
      <c r="AG104" s="8"/>
      <c r="AH104" s="8"/>
      <c r="AI104" s="8"/>
      <c r="AJ104" s="8"/>
      <c r="AK104" s="8">
        <f t="shared" si="3"/>
        <v>0</v>
      </c>
      <c r="AL104" s="8">
        <f t="shared" si="4"/>
        <v>0</v>
      </c>
      <c r="AM104" s="9"/>
    </row>
    <row r="105" spans="1:39" ht="24.95" customHeight="1">
      <c r="A105" s="10" t="s">
        <v>142</v>
      </c>
      <c r="B105" s="8"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>
        <f t="shared" si="5"/>
        <v>0</v>
      </c>
      <c r="AD105" s="8"/>
      <c r="AE105" s="8"/>
      <c r="AF105" s="8"/>
      <c r="AG105" s="8"/>
      <c r="AH105" s="8"/>
      <c r="AI105" s="8"/>
      <c r="AJ105" s="8"/>
      <c r="AK105" s="8">
        <f t="shared" si="3"/>
        <v>0</v>
      </c>
      <c r="AL105" s="8">
        <f t="shared" si="4"/>
        <v>0</v>
      </c>
      <c r="AM105" s="9"/>
    </row>
    <row r="106" spans="1:39" ht="24.95" customHeight="1">
      <c r="A106" s="10" t="s">
        <v>143</v>
      </c>
      <c r="B106" s="8"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>
        <f t="shared" si="5"/>
        <v>0</v>
      </c>
      <c r="AD106" s="8"/>
      <c r="AE106" s="8"/>
      <c r="AF106" s="8"/>
      <c r="AG106" s="8"/>
      <c r="AH106" s="8"/>
      <c r="AI106" s="8"/>
      <c r="AJ106" s="8"/>
      <c r="AK106" s="8">
        <f t="shared" si="3"/>
        <v>0</v>
      </c>
      <c r="AL106" s="8">
        <f t="shared" si="4"/>
        <v>0</v>
      </c>
      <c r="AM106" s="9"/>
    </row>
    <row r="107" spans="1:39" ht="24.95" customHeight="1">
      <c r="A107" s="10" t="s">
        <v>144</v>
      </c>
      <c r="B107" s="8"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>
        <f>+Z109*2</f>
        <v>0</v>
      </c>
      <c r="AB107" s="8"/>
      <c r="AC107" s="8">
        <f t="shared" si="5"/>
        <v>0</v>
      </c>
      <c r="AD107" s="8"/>
      <c r="AE107" s="8"/>
      <c r="AF107" s="8"/>
      <c r="AG107" s="8"/>
      <c r="AH107" s="8"/>
      <c r="AI107" s="8"/>
      <c r="AJ107" s="8"/>
      <c r="AK107" s="8">
        <f t="shared" si="3"/>
        <v>0</v>
      </c>
      <c r="AL107" s="8">
        <f t="shared" si="4"/>
        <v>0</v>
      </c>
      <c r="AM107" s="9"/>
    </row>
    <row r="108" spans="1:39" ht="24.95" customHeight="1">
      <c r="A108" s="10" t="s">
        <v>145</v>
      </c>
      <c r="B108" s="8">
        <v>0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>
        <f t="shared" si="5"/>
        <v>0</v>
      </c>
      <c r="AD108" s="8"/>
      <c r="AE108" s="8"/>
      <c r="AF108" s="8"/>
      <c r="AG108" s="8"/>
      <c r="AH108" s="8"/>
      <c r="AI108" s="8"/>
      <c r="AJ108" s="8"/>
      <c r="AK108" s="8">
        <f t="shared" si="3"/>
        <v>0</v>
      </c>
      <c r="AL108" s="8">
        <f t="shared" si="4"/>
        <v>0</v>
      </c>
      <c r="AM108" s="9"/>
    </row>
    <row r="109" spans="1:39" ht="24.95" customHeight="1">
      <c r="A109" s="10" t="s">
        <v>146</v>
      </c>
      <c r="B109" s="8"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>
        <f t="shared" si="5"/>
        <v>0</v>
      </c>
      <c r="AD109" s="8"/>
      <c r="AE109" s="8"/>
      <c r="AF109" s="8"/>
      <c r="AG109" s="8"/>
      <c r="AH109" s="8"/>
      <c r="AI109" s="8"/>
      <c r="AJ109" s="8"/>
      <c r="AK109" s="8">
        <f t="shared" si="3"/>
        <v>0</v>
      </c>
      <c r="AL109" s="8">
        <f t="shared" si="4"/>
        <v>0</v>
      </c>
      <c r="AM109" s="9"/>
    </row>
    <row r="110" spans="1:39" ht="24.95" customHeight="1">
      <c r="A110" s="10" t="s">
        <v>147</v>
      </c>
      <c r="B110" s="8"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>
        <f>+Z112*2</f>
        <v>0</v>
      </c>
      <c r="AB110" s="8"/>
      <c r="AC110" s="8">
        <f t="shared" si="5"/>
        <v>0</v>
      </c>
      <c r="AD110" s="8"/>
      <c r="AE110" s="8">
        <f>+AD111</f>
        <v>0</v>
      </c>
      <c r="AF110" s="8"/>
      <c r="AG110" s="8"/>
      <c r="AH110" s="8"/>
      <c r="AI110" s="8"/>
      <c r="AJ110" s="8"/>
      <c r="AK110" s="8">
        <f t="shared" si="3"/>
        <v>0</v>
      </c>
      <c r="AL110" s="8">
        <f t="shared" si="4"/>
        <v>0</v>
      </c>
      <c r="AM110" s="9"/>
    </row>
    <row r="111" spans="1:39" ht="24.95" customHeight="1">
      <c r="A111" s="10" t="s">
        <v>148</v>
      </c>
      <c r="B111" s="8"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>
        <f t="shared" si="5"/>
        <v>0</v>
      </c>
      <c r="AD111" s="8"/>
      <c r="AE111" s="8"/>
      <c r="AF111" s="8"/>
      <c r="AG111" s="8"/>
      <c r="AH111" s="8"/>
      <c r="AI111" s="8"/>
      <c r="AJ111" s="8"/>
      <c r="AK111" s="8">
        <f t="shared" si="3"/>
        <v>0</v>
      </c>
      <c r="AL111" s="8">
        <f t="shared" si="4"/>
        <v>0</v>
      </c>
      <c r="AM111" s="9"/>
    </row>
    <row r="112" spans="1:39" ht="24.95" customHeight="1">
      <c r="A112" s="10" t="s">
        <v>149</v>
      </c>
      <c r="B112" s="8"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>
        <f t="shared" si="5"/>
        <v>0</v>
      </c>
      <c r="AD112" s="8"/>
      <c r="AE112" s="8"/>
      <c r="AF112" s="8"/>
      <c r="AG112" s="8"/>
      <c r="AH112" s="8"/>
      <c r="AI112" s="8"/>
      <c r="AJ112" s="8"/>
      <c r="AK112" s="8">
        <f t="shared" si="3"/>
        <v>0</v>
      </c>
      <c r="AL112" s="8">
        <f t="shared" si="4"/>
        <v>0</v>
      </c>
      <c r="AM112" s="9"/>
    </row>
    <row r="113" spans="1:39" ht="24.95" customHeight="1">
      <c r="A113" s="10" t="s">
        <v>150</v>
      </c>
      <c r="B113" s="8"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>
        <f t="shared" si="5"/>
        <v>0</v>
      </c>
      <c r="AD113" s="8"/>
      <c r="AE113" s="8"/>
      <c r="AF113" s="8"/>
      <c r="AG113" s="8"/>
      <c r="AH113" s="8"/>
      <c r="AI113" s="8"/>
      <c r="AJ113" s="8"/>
      <c r="AK113" s="8">
        <f t="shared" si="3"/>
        <v>0</v>
      </c>
      <c r="AL113" s="8">
        <f t="shared" si="4"/>
        <v>0</v>
      </c>
      <c r="AM113" s="9"/>
    </row>
    <row r="114" spans="1:39" ht="24.95" customHeight="1">
      <c r="A114" s="10" t="s">
        <v>151</v>
      </c>
      <c r="B114" s="8"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>
        <f t="shared" si="5"/>
        <v>0</v>
      </c>
      <c r="AD114" s="8"/>
      <c r="AE114" s="8"/>
      <c r="AF114" s="8"/>
      <c r="AG114" s="8"/>
      <c r="AH114" s="8"/>
      <c r="AI114" s="8"/>
      <c r="AJ114" s="8"/>
      <c r="AK114" s="8">
        <f t="shared" si="3"/>
        <v>0</v>
      </c>
      <c r="AL114" s="8">
        <f t="shared" si="4"/>
        <v>0</v>
      </c>
      <c r="AM114" s="9"/>
    </row>
    <row r="115" spans="1:39" ht="24.95" customHeight="1">
      <c r="A115" s="10" t="s">
        <v>152</v>
      </c>
      <c r="B115" s="8"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>
        <f t="shared" si="5"/>
        <v>0</v>
      </c>
      <c r="AD115" s="8"/>
      <c r="AE115" s="8"/>
      <c r="AF115" s="8"/>
      <c r="AG115" s="8"/>
      <c r="AH115" s="8"/>
      <c r="AI115" s="8"/>
      <c r="AJ115" s="8"/>
      <c r="AK115" s="8">
        <f t="shared" si="3"/>
        <v>0</v>
      </c>
      <c r="AL115" s="8">
        <f t="shared" si="4"/>
        <v>0</v>
      </c>
      <c r="AM115" s="9"/>
    </row>
    <row r="116" spans="1:39" ht="24.95" customHeight="1">
      <c r="A116" s="10" t="s">
        <v>153</v>
      </c>
      <c r="B116" s="8"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>
        <f t="shared" si="5"/>
        <v>0</v>
      </c>
      <c r="AD116" s="8"/>
      <c r="AE116" s="8"/>
      <c r="AF116" s="8"/>
      <c r="AG116" s="8"/>
      <c r="AH116" s="8"/>
      <c r="AI116" s="8"/>
      <c r="AJ116" s="8"/>
      <c r="AK116" s="8">
        <f t="shared" si="3"/>
        <v>0</v>
      </c>
      <c r="AL116" s="8">
        <f t="shared" si="4"/>
        <v>0</v>
      </c>
      <c r="AM116" s="9"/>
    </row>
    <row r="117" spans="1:39" ht="24.95" customHeight="1">
      <c r="A117" s="10" t="s">
        <v>154</v>
      </c>
      <c r="B117" s="8"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>
        <f t="shared" si="5"/>
        <v>0</v>
      </c>
      <c r="AD117" s="8"/>
      <c r="AE117" s="8">
        <f>+AD120</f>
        <v>0</v>
      </c>
      <c r="AF117" s="8"/>
      <c r="AG117" s="8"/>
      <c r="AH117" s="8"/>
      <c r="AI117" s="8"/>
      <c r="AJ117" s="8"/>
      <c r="AK117" s="8">
        <f t="shared" si="3"/>
        <v>0</v>
      </c>
      <c r="AL117" s="8">
        <f t="shared" si="4"/>
        <v>0</v>
      </c>
      <c r="AM117" s="9"/>
    </row>
    <row r="118" spans="1:39" ht="24.95" customHeight="1">
      <c r="A118" s="10" t="s">
        <v>155</v>
      </c>
      <c r="B118" s="8"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>
        <f t="shared" si="5"/>
        <v>0</v>
      </c>
      <c r="AD118" s="8"/>
      <c r="AE118" s="8">
        <f>+AD121</f>
        <v>0</v>
      </c>
      <c r="AF118" s="8"/>
      <c r="AG118" s="8"/>
      <c r="AH118" s="8"/>
      <c r="AI118" s="8"/>
      <c r="AJ118" s="8"/>
      <c r="AK118" s="8">
        <f t="shared" si="3"/>
        <v>0</v>
      </c>
      <c r="AL118" s="8">
        <f t="shared" si="4"/>
        <v>0</v>
      </c>
      <c r="AM118" s="9"/>
    </row>
    <row r="119" spans="1:39" ht="24.95" customHeight="1">
      <c r="A119" s="10" t="s">
        <v>156</v>
      </c>
      <c r="B119" s="8"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>
        <f t="shared" si="5"/>
        <v>0</v>
      </c>
      <c r="AD119" s="8"/>
      <c r="AE119" s="8">
        <f>+AD122</f>
        <v>0</v>
      </c>
      <c r="AF119" s="8"/>
      <c r="AG119" s="8"/>
      <c r="AH119" s="8"/>
      <c r="AI119" s="8"/>
      <c r="AJ119" s="8"/>
      <c r="AK119" s="8">
        <f t="shared" si="3"/>
        <v>0</v>
      </c>
      <c r="AL119" s="8">
        <f t="shared" si="4"/>
        <v>0</v>
      </c>
      <c r="AM119" s="9"/>
    </row>
    <row r="120" spans="1:39" ht="24.95" customHeight="1">
      <c r="A120" s="10" t="s">
        <v>157</v>
      </c>
      <c r="B120" s="8"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>
        <f t="shared" si="5"/>
        <v>0</v>
      </c>
      <c r="AD120" s="8"/>
      <c r="AE120" s="8"/>
      <c r="AF120" s="8"/>
      <c r="AG120" s="8"/>
      <c r="AH120" s="8"/>
      <c r="AI120" s="8"/>
      <c r="AJ120" s="8"/>
      <c r="AK120" s="8">
        <f t="shared" si="3"/>
        <v>0</v>
      </c>
      <c r="AL120" s="8">
        <f t="shared" si="4"/>
        <v>0</v>
      </c>
      <c r="AM120" s="9"/>
    </row>
    <row r="121" spans="1:39" ht="24.95" customHeight="1">
      <c r="A121" s="10" t="s">
        <v>158</v>
      </c>
      <c r="B121" s="8"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>
        <f t="shared" si="5"/>
        <v>0</v>
      </c>
      <c r="AD121" s="8"/>
      <c r="AE121" s="8"/>
      <c r="AF121" s="8"/>
      <c r="AG121" s="8"/>
      <c r="AH121" s="8"/>
      <c r="AI121" s="8"/>
      <c r="AJ121" s="8"/>
      <c r="AK121" s="8">
        <f t="shared" si="3"/>
        <v>0</v>
      </c>
      <c r="AL121" s="8">
        <f t="shared" si="4"/>
        <v>0</v>
      </c>
      <c r="AM121" s="9"/>
    </row>
    <row r="122" spans="1:39" ht="24.95" customHeight="1">
      <c r="A122" s="10" t="s">
        <v>159</v>
      </c>
      <c r="B122" s="8"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>
        <f t="shared" si="5"/>
        <v>0</v>
      </c>
      <c r="AD122" s="8"/>
      <c r="AE122" s="8"/>
      <c r="AF122" s="8"/>
      <c r="AG122" s="8"/>
      <c r="AH122" s="8"/>
      <c r="AI122" s="8"/>
      <c r="AJ122" s="8"/>
      <c r="AK122" s="8">
        <f t="shared" si="3"/>
        <v>0</v>
      </c>
      <c r="AL122" s="8">
        <f t="shared" si="4"/>
        <v>0</v>
      </c>
      <c r="AM122" s="9"/>
    </row>
    <row r="123" spans="1:39" ht="24.95" customHeight="1">
      <c r="A123" s="10" t="s">
        <v>160</v>
      </c>
      <c r="B123" s="8"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>
        <f t="shared" si="5"/>
        <v>0</v>
      </c>
      <c r="AD123" s="8"/>
      <c r="AE123" s="8"/>
      <c r="AF123" s="8"/>
      <c r="AG123" s="8"/>
      <c r="AH123" s="8"/>
      <c r="AI123" s="8"/>
      <c r="AJ123" s="8"/>
      <c r="AK123" s="8">
        <f t="shared" si="3"/>
        <v>0</v>
      </c>
      <c r="AL123" s="8">
        <f t="shared" si="4"/>
        <v>0</v>
      </c>
      <c r="AM123" s="9"/>
    </row>
    <row r="124" spans="1:39" ht="24.95" customHeight="1">
      <c r="A124" s="10" t="s">
        <v>161</v>
      </c>
      <c r="B124" s="8"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>
        <f t="shared" si="5"/>
        <v>0</v>
      </c>
      <c r="AD124" s="8"/>
      <c r="AE124" s="8">
        <f>+AD125</f>
        <v>0</v>
      </c>
      <c r="AF124" s="8"/>
      <c r="AG124" s="8"/>
      <c r="AH124" s="8"/>
      <c r="AI124" s="8"/>
      <c r="AJ124" s="8"/>
      <c r="AK124" s="8">
        <f t="shared" si="3"/>
        <v>0</v>
      </c>
      <c r="AL124" s="8">
        <f t="shared" si="4"/>
        <v>0</v>
      </c>
      <c r="AM124" s="9"/>
    </row>
    <row r="125" spans="1:39" ht="24.95" customHeight="1">
      <c r="A125" s="10" t="s">
        <v>162</v>
      </c>
      <c r="B125" s="8"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>
        <f t="shared" si="5"/>
        <v>0</v>
      </c>
      <c r="AD125" s="8"/>
      <c r="AE125" s="8"/>
      <c r="AF125" s="8"/>
      <c r="AG125" s="8"/>
      <c r="AH125" s="8"/>
      <c r="AI125" s="8"/>
      <c r="AJ125" s="8"/>
      <c r="AK125" s="8">
        <f t="shared" si="3"/>
        <v>0</v>
      </c>
      <c r="AL125" s="8">
        <f t="shared" si="4"/>
        <v>0</v>
      </c>
      <c r="AM125" s="9"/>
    </row>
    <row r="126" spans="1:39" ht="24.95" customHeight="1">
      <c r="A126" s="10" t="s">
        <v>163</v>
      </c>
      <c r="B126" s="8"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>
        <f t="shared" si="5"/>
        <v>0</v>
      </c>
      <c r="AD126" s="8"/>
      <c r="AE126" s="8"/>
      <c r="AF126" s="8"/>
      <c r="AG126" s="8"/>
      <c r="AH126" s="8"/>
      <c r="AI126" s="8"/>
      <c r="AJ126" s="8"/>
      <c r="AK126" s="8">
        <f t="shared" si="3"/>
        <v>0</v>
      </c>
      <c r="AL126" s="8">
        <f t="shared" si="4"/>
        <v>0</v>
      </c>
      <c r="AM126" s="9"/>
    </row>
    <row r="127" spans="1:39" ht="24.95" customHeight="1">
      <c r="A127" s="16" t="s">
        <v>164</v>
      </c>
      <c r="B127" s="8"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>
        <f>+Z128*2</f>
        <v>0</v>
      </c>
      <c r="AB127" s="8"/>
      <c r="AC127" s="8">
        <f t="shared" si="5"/>
        <v>0</v>
      </c>
      <c r="AD127" s="8"/>
      <c r="AE127" s="8"/>
      <c r="AF127" s="8"/>
      <c r="AG127" s="8"/>
      <c r="AH127" s="8"/>
      <c r="AI127" s="8"/>
      <c r="AJ127" s="8"/>
      <c r="AK127" s="8">
        <f t="shared" si="3"/>
        <v>0</v>
      </c>
      <c r="AL127" s="8">
        <f t="shared" si="4"/>
        <v>0</v>
      </c>
      <c r="AM127" s="9"/>
    </row>
    <row r="128" spans="1:39" ht="24.95" customHeight="1">
      <c r="A128" s="16" t="s">
        <v>165</v>
      </c>
      <c r="B128" s="8">
        <v>0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>
        <f t="shared" si="5"/>
        <v>0</v>
      </c>
      <c r="AD128" s="8"/>
      <c r="AE128" s="8"/>
      <c r="AF128" s="8"/>
      <c r="AG128" s="8"/>
      <c r="AH128" s="8"/>
      <c r="AI128" s="8"/>
      <c r="AJ128" s="8"/>
      <c r="AK128" s="8">
        <f t="shared" si="3"/>
        <v>0</v>
      </c>
      <c r="AL128" s="8">
        <f t="shared" si="4"/>
        <v>0</v>
      </c>
      <c r="AM128" s="9"/>
    </row>
    <row r="129" spans="1:39" ht="24.95" customHeight="1">
      <c r="A129" s="16" t="s">
        <v>166</v>
      </c>
      <c r="B129" s="8"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>
        <f>+Y130*2</f>
        <v>0</v>
      </c>
      <c r="Y129" s="8"/>
      <c r="Z129" s="8"/>
      <c r="AA129" s="8">
        <f>+Z130*2</f>
        <v>0</v>
      </c>
      <c r="AB129" s="8"/>
      <c r="AC129" s="8">
        <f t="shared" si="5"/>
        <v>0</v>
      </c>
      <c r="AD129" s="8"/>
      <c r="AE129" s="8"/>
      <c r="AF129" s="8"/>
      <c r="AG129" s="8"/>
      <c r="AH129" s="8"/>
      <c r="AI129" s="8"/>
      <c r="AJ129" s="8"/>
      <c r="AK129" s="8">
        <f t="shared" si="3"/>
        <v>0</v>
      </c>
      <c r="AL129" s="8">
        <f t="shared" si="4"/>
        <v>0</v>
      </c>
      <c r="AM129" s="9"/>
    </row>
    <row r="130" spans="1:39" ht="24.95" customHeight="1">
      <c r="A130" s="16" t="s">
        <v>167</v>
      </c>
      <c r="B130" s="8">
        <v>4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>
        <f t="shared" si="5"/>
        <v>0</v>
      </c>
      <c r="AD130" s="8"/>
      <c r="AE130" s="8"/>
      <c r="AF130" s="8"/>
      <c r="AG130" s="8"/>
      <c r="AH130" s="8"/>
      <c r="AI130" s="8"/>
      <c r="AJ130" s="8"/>
      <c r="AK130" s="8">
        <f t="shared" ref="AK130:AK193" si="6">SUM((D130+P130+G130+L130+S130+X130+Z130+AD130+M130+J130+V130+AB130+F130+AG130+O130+AI130)+(-N130-E130-R130-Q130-T130-Y130-AA130-AE130-AJ130-K130-I130-H130-U130-AC130-AF130-AH130-W130))</f>
        <v>0</v>
      </c>
      <c r="AL130" s="8">
        <f t="shared" ref="AL130:AL193" si="7">B130+AK130</f>
        <v>4</v>
      </c>
      <c r="AM130" s="9"/>
    </row>
    <row r="131" spans="1:39" ht="24.95" customHeight="1">
      <c r="A131" s="17" t="s">
        <v>168</v>
      </c>
      <c r="B131" s="8"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18"/>
      <c r="N131" s="8"/>
      <c r="O131" s="8"/>
      <c r="P131" s="8"/>
      <c r="Q131" s="8"/>
      <c r="R131" s="8"/>
      <c r="S131" s="8"/>
      <c r="T131" s="8"/>
      <c r="U131" s="18"/>
      <c r="V131" s="18"/>
      <c r="W131" s="18"/>
      <c r="X131" s="18"/>
      <c r="Y131" s="18"/>
      <c r="Z131" s="8"/>
      <c r="AA131" s="18"/>
      <c r="AB131" s="18"/>
      <c r="AC131" s="8">
        <f t="shared" si="5"/>
        <v>0</v>
      </c>
      <c r="AD131" s="18"/>
      <c r="AE131" s="18"/>
      <c r="AF131" s="8"/>
      <c r="AG131" s="18"/>
      <c r="AH131" s="8"/>
      <c r="AI131" s="8"/>
      <c r="AJ131" s="8"/>
      <c r="AK131" s="8">
        <f t="shared" si="6"/>
        <v>0</v>
      </c>
      <c r="AL131" s="8">
        <f t="shared" si="7"/>
        <v>0</v>
      </c>
      <c r="AM131" s="9"/>
    </row>
    <row r="132" spans="1:39" ht="24.95" customHeight="1">
      <c r="A132" s="10" t="s">
        <v>169</v>
      </c>
      <c r="B132" s="8"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8"/>
      <c r="N132" s="8"/>
      <c r="O132" s="8"/>
      <c r="P132" s="8"/>
      <c r="Q132" s="8"/>
      <c r="R132" s="8"/>
      <c r="S132" s="8"/>
      <c r="T132" s="8"/>
      <c r="U132" s="18"/>
      <c r="V132" s="18"/>
      <c r="W132" s="18"/>
      <c r="X132" s="18"/>
      <c r="Y132" s="18"/>
      <c r="Z132" s="8"/>
      <c r="AA132" s="18"/>
      <c r="AB132" s="18"/>
      <c r="AC132" s="8">
        <f t="shared" si="5"/>
        <v>0</v>
      </c>
      <c r="AD132" s="18"/>
      <c r="AE132" s="18"/>
      <c r="AF132" s="8"/>
      <c r="AG132" s="18"/>
      <c r="AH132" s="8"/>
      <c r="AI132" s="8"/>
      <c r="AJ132" s="8"/>
      <c r="AK132" s="8">
        <f t="shared" si="6"/>
        <v>0</v>
      </c>
      <c r="AL132" s="8">
        <f t="shared" si="7"/>
        <v>0</v>
      </c>
      <c r="AM132" s="9"/>
    </row>
    <row r="133" spans="1:39" ht="24.95" customHeight="1">
      <c r="A133" s="10" t="s">
        <v>170</v>
      </c>
      <c r="B133" s="8"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8"/>
      <c r="N133" s="8"/>
      <c r="O133" s="8"/>
      <c r="P133" s="8"/>
      <c r="Q133" s="8"/>
      <c r="R133" s="8"/>
      <c r="S133" s="8"/>
      <c r="T133" s="8"/>
      <c r="U133" s="18"/>
      <c r="V133" s="18"/>
      <c r="W133" s="18"/>
      <c r="X133" s="18"/>
      <c r="Y133" s="18"/>
      <c r="Z133" s="8"/>
      <c r="AA133" s="18"/>
      <c r="AB133" s="18"/>
      <c r="AC133" s="8">
        <f t="shared" si="5"/>
        <v>0</v>
      </c>
      <c r="AD133" s="18"/>
      <c r="AE133" s="18"/>
      <c r="AF133" s="8"/>
      <c r="AG133" s="18"/>
      <c r="AH133" s="8"/>
      <c r="AI133" s="8"/>
      <c r="AJ133" s="8"/>
      <c r="AK133" s="8">
        <f t="shared" si="6"/>
        <v>0</v>
      </c>
      <c r="AL133" s="8">
        <f t="shared" si="7"/>
        <v>0</v>
      </c>
      <c r="AM133" s="9"/>
    </row>
    <row r="134" spans="1:39" ht="24.95" customHeight="1">
      <c r="A134" s="10" t="s">
        <v>171</v>
      </c>
      <c r="B134" s="8">
        <v>344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18"/>
      <c r="N134" s="8"/>
      <c r="O134" s="8"/>
      <c r="P134" s="8"/>
      <c r="Q134" s="8"/>
      <c r="R134" s="8"/>
      <c r="S134" s="8"/>
      <c r="T134" s="8"/>
      <c r="U134" s="18"/>
      <c r="V134" s="18"/>
      <c r="W134" s="18"/>
      <c r="X134" s="18"/>
      <c r="Y134" s="18"/>
      <c r="Z134" s="8"/>
      <c r="AA134" s="18">
        <f>+Z144*2</f>
        <v>0</v>
      </c>
      <c r="AB134" s="18"/>
      <c r="AC134" s="8">
        <f t="shared" ref="AC134:AC197" si="8">+AB134</f>
        <v>0</v>
      </c>
      <c r="AD134" s="18"/>
      <c r="AE134" s="18">
        <f>+AD139</f>
        <v>0</v>
      </c>
      <c r="AF134" s="8"/>
      <c r="AG134" s="18"/>
      <c r="AH134" s="8"/>
      <c r="AI134" s="8"/>
      <c r="AJ134" s="8"/>
      <c r="AK134" s="8">
        <f t="shared" si="6"/>
        <v>0</v>
      </c>
      <c r="AL134" s="8">
        <f t="shared" si="7"/>
        <v>344</v>
      </c>
      <c r="AM134" s="9"/>
    </row>
    <row r="135" spans="1:39" ht="24.95" customHeight="1">
      <c r="A135" s="10" t="s">
        <v>172</v>
      </c>
      <c r="B135" s="8">
        <v>1536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18"/>
      <c r="N135" s="8"/>
      <c r="O135" s="8"/>
      <c r="P135" s="8"/>
      <c r="Q135" s="8"/>
      <c r="R135" s="8"/>
      <c r="S135" s="8"/>
      <c r="T135" s="8"/>
      <c r="U135" s="18"/>
      <c r="V135" s="18"/>
      <c r="W135" s="18"/>
      <c r="X135" s="18"/>
      <c r="Y135" s="18"/>
      <c r="Z135" s="8"/>
      <c r="AA135" s="18">
        <f>+Z145*2</f>
        <v>0</v>
      </c>
      <c r="AB135" s="18"/>
      <c r="AC135" s="8">
        <f t="shared" si="8"/>
        <v>0</v>
      </c>
      <c r="AD135" s="18"/>
      <c r="AE135" s="18">
        <f>+AD140</f>
        <v>0</v>
      </c>
      <c r="AF135" s="8"/>
      <c r="AG135" s="18"/>
      <c r="AH135" s="8"/>
      <c r="AI135" s="8"/>
      <c r="AJ135" s="8"/>
      <c r="AK135" s="8">
        <f t="shared" si="6"/>
        <v>0</v>
      </c>
      <c r="AL135" s="8">
        <f t="shared" si="7"/>
        <v>1536</v>
      </c>
      <c r="AM135" s="9"/>
    </row>
    <row r="136" spans="1:39" ht="24.95" customHeight="1">
      <c r="A136" s="17" t="s">
        <v>173</v>
      </c>
      <c r="B136" s="8">
        <v>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18"/>
      <c r="N136" s="8"/>
      <c r="O136" s="8"/>
      <c r="P136" s="8"/>
      <c r="Q136" s="8"/>
      <c r="R136" s="8"/>
      <c r="S136" s="8"/>
      <c r="T136" s="8"/>
      <c r="U136" s="18"/>
      <c r="V136" s="18"/>
      <c r="W136" s="18"/>
      <c r="X136" s="18"/>
      <c r="Y136" s="18"/>
      <c r="Z136" s="8"/>
      <c r="AA136" s="18">
        <f>+Z141*2</f>
        <v>0</v>
      </c>
      <c r="AB136" s="18"/>
      <c r="AC136" s="8">
        <f t="shared" si="8"/>
        <v>0</v>
      </c>
      <c r="AD136" s="18"/>
      <c r="AE136" s="18"/>
      <c r="AF136" s="8"/>
      <c r="AG136" s="18"/>
      <c r="AH136" s="8"/>
      <c r="AI136" s="8"/>
      <c r="AJ136" s="8"/>
      <c r="AK136" s="8">
        <f t="shared" si="6"/>
        <v>0</v>
      </c>
      <c r="AL136" s="8">
        <f t="shared" si="7"/>
        <v>0</v>
      </c>
      <c r="AM136" s="9"/>
    </row>
    <row r="137" spans="1:39" ht="24.95" customHeight="1">
      <c r="A137" s="10" t="s">
        <v>174</v>
      </c>
      <c r="B137" s="8">
        <v>1150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18"/>
      <c r="N137" s="8"/>
      <c r="O137" s="8"/>
      <c r="P137" s="8"/>
      <c r="Q137" s="8"/>
      <c r="R137" s="8"/>
      <c r="S137" s="8"/>
      <c r="T137" s="8"/>
      <c r="U137" s="18"/>
      <c r="V137" s="18"/>
      <c r="W137" s="18"/>
      <c r="X137" s="18"/>
      <c r="Y137" s="18"/>
      <c r="Z137" s="8"/>
      <c r="AA137" s="18">
        <f>+Z142*2</f>
        <v>0</v>
      </c>
      <c r="AB137" s="18"/>
      <c r="AC137" s="8">
        <f t="shared" si="8"/>
        <v>0</v>
      </c>
      <c r="AD137" s="18"/>
      <c r="AE137" s="18"/>
      <c r="AF137" s="8"/>
      <c r="AG137" s="18"/>
      <c r="AH137" s="8"/>
      <c r="AI137" s="8"/>
      <c r="AJ137" s="8"/>
      <c r="AK137" s="8">
        <f t="shared" si="6"/>
        <v>0</v>
      </c>
      <c r="AL137" s="8">
        <f t="shared" si="7"/>
        <v>1150</v>
      </c>
      <c r="AM137" s="9"/>
    </row>
    <row r="138" spans="1:39" ht="24.95" customHeight="1">
      <c r="A138" s="10" t="s">
        <v>175</v>
      </c>
      <c r="B138" s="8">
        <v>1558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18"/>
      <c r="N138" s="8"/>
      <c r="O138" s="8"/>
      <c r="P138" s="8"/>
      <c r="Q138" s="8"/>
      <c r="R138" s="8"/>
      <c r="S138" s="8"/>
      <c r="T138" s="8"/>
      <c r="U138" s="18"/>
      <c r="V138" s="18"/>
      <c r="W138" s="18"/>
      <c r="X138" s="18"/>
      <c r="Y138" s="18"/>
      <c r="Z138" s="8"/>
      <c r="AA138" s="18">
        <f>+Z143*2</f>
        <v>0</v>
      </c>
      <c r="AB138" s="18"/>
      <c r="AC138" s="8">
        <f t="shared" si="8"/>
        <v>0</v>
      </c>
      <c r="AD138" s="18"/>
      <c r="AE138" s="18"/>
      <c r="AF138" s="8"/>
      <c r="AG138" s="18"/>
      <c r="AH138" s="8"/>
      <c r="AI138" s="8"/>
      <c r="AJ138" s="8"/>
      <c r="AK138" s="8">
        <f t="shared" si="6"/>
        <v>0</v>
      </c>
      <c r="AL138" s="8">
        <f t="shared" si="7"/>
        <v>1558</v>
      </c>
      <c r="AM138" s="9"/>
    </row>
    <row r="139" spans="1:39" ht="24.95" customHeight="1">
      <c r="A139" s="10" t="s">
        <v>176</v>
      </c>
      <c r="B139" s="8">
        <v>53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18"/>
      <c r="N139" s="8"/>
      <c r="O139" s="8"/>
      <c r="P139" s="8"/>
      <c r="Q139" s="8"/>
      <c r="R139" s="8"/>
      <c r="S139" s="8"/>
      <c r="T139" s="8"/>
      <c r="U139" s="18"/>
      <c r="V139" s="18"/>
      <c r="W139" s="18"/>
      <c r="X139" s="18"/>
      <c r="Y139" s="18"/>
      <c r="Z139" s="8"/>
      <c r="AA139" s="18"/>
      <c r="AB139" s="18"/>
      <c r="AC139" s="8">
        <f t="shared" si="8"/>
        <v>0</v>
      </c>
      <c r="AD139" s="18"/>
      <c r="AE139" s="18"/>
      <c r="AF139" s="8"/>
      <c r="AG139" s="18"/>
      <c r="AH139" s="8"/>
      <c r="AI139" s="8"/>
      <c r="AJ139" s="8"/>
      <c r="AK139" s="8">
        <f t="shared" si="6"/>
        <v>0</v>
      </c>
      <c r="AL139" s="8">
        <f t="shared" si="7"/>
        <v>53</v>
      </c>
      <c r="AM139" s="9"/>
    </row>
    <row r="140" spans="1:39" ht="24.95" customHeight="1">
      <c r="A140" s="10" t="s">
        <v>177</v>
      </c>
      <c r="B140" s="8">
        <v>12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18"/>
      <c r="N140" s="8"/>
      <c r="O140" s="8"/>
      <c r="P140" s="8"/>
      <c r="Q140" s="8"/>
      <c r="R140" s="8"/>
      <c r="S140" s="8"/>
      <c r="T140" s="8"/>
      <c r="U140" s="18"/>
      <c r="V140" s="18"/>
      <c r="W140" s="18"/>
      <c r="X140" s="18"/>
      <c r="Y140" s="18"/>
      <c r="Z140" s="8"/>
      <c r="AA140" s="18"/>
      <c r="AB140" s="18"/>
      <c r="AC140" s="8">
        <f t="shared" si="8"/>
        <v>0</v>
      </c>
      <c r="AD140" s="18"/>
      <c r="AE140" s="18"/>
      <c r="AF140" s="8"/>
      <c r="AG140" s="18"/>
      <c r="AH140" s="8"/>
      <c r="AI140" s="8"/>
      <c r="AJ140" s="8"/>
      <c r="AK140" s="8">
        <f t="shared" si="6"/>
        <v>0</v>
      </c>
      <c r="AL140" s="8">
        <f t="shared" si="7"/>
        <v>12</v>
      </c>
      <c r="AM140" s="9"/>
    </row>
    <row r="141" spans="1:39" ht="24.95" customHeight="1">
      <c r="A141" s="17" t="s">
        <v>178</v>
      </c>
      <c r="B141" s="8">
        <v>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18"/>
      <c r="N141" s="8"/>
      <c r="O141" s="8"/>
      <c r="P141" s="8"/>
      <c r="Q141" s="8"/>
      <c r="R141" s="8"/>
      <c r="S141" s="8"/>
      <c r="T141" s="8"/>
      <c r="U141" s="18"/>
      <c r="V141" s="18"/>
      <c r="W141" s="18"/>
      <c r="X141" s="18"/>
      <c r="Y141" s="18"/>
      <c r="Z141" s="8"/>
      <c r="AA141" s="18"/>
      <c r="AB141" s="18"/>
      <c r="AC141" s="8">
        <f t="shared" si="8"/>
        <v>0</v>
      </c>
      <c r="AD141" s="18"/>
      <c r="AE141" s="18"/>
      <c r="AF141" s="8"/>
      <c r="AG141" s="18"/>
      <c r="AH141" s="8"/>
      <c r="AI141" s="8"/>
      <c r="AJ141" s="8"/>
      <c r="AK141" s="8">
        <f t="shared" si="6"/>
        <v>0</v>
      </c>
      <c r="AL141" s="8">
        <f t="shared" si="7"/>
        <v>0</v>
      </c>
      <c r="AM141" s="9"/>
    </row>
    <row r="142" spans="1:39" ht="24.95" customHeight="1">
      <c r="A142" s="10" t="s">
        <v>179</v>
      </c>
      <c r="B142" s="8">
        <v>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18"/>
      <c r="N142" s="8"/>
      <c r="O142" s="8"/>
      <c r="P142" s="8"/>
      <c r="Q142" s="8"/>
      <c r="R142" s="8"/>
      <c r="S142" s="8"/>
      <c r="T142" s="8"/>
      <c r="U142" s="18"/>
      <c r="V142" s="18"/>
      <c r="W142" s="18"/>
      <c r="X142" s="18"/>
      <c r="Y142" s="18"/>
      <c r="Z142" s="8"/>
      <c r="AA142" s="18"/>
      <c r="AB142" s="18"/>
      <c r="AC142" s="8">
        <f t="shared" si="8"/>
        <v>0</v>
      </c>
      <c r="AD142" s="18"/>
      <c r="AE142" s="18"/>
      <c r="AF142" s="8"/>
      <c r="AG142" s="18"/>
      <c r="AH142" s="8"/>
      <c r="AI142" s="8"/>
      <c r="AJ142" s="8"/>
      <c r="AK142" s="8">
        <f t="shared" si="6"/>
        <v>0</v>
      </c>
      <c r="AL142" s="8">
        <f t="shared" si="7"/>
        <v>0</v>
      </c>
      <c r="AM142" s="9"/>
    </row>
    <row r="143" spans="1:39" ht="24.95" customHeight="1">
      <c r="A143" s="10" t="s">
        <v>180</v>
      </c>
      <c r="B143" s="8"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18"/>
      <c r="N143" s="8"/>
      <c r="O143" s="8"/>
      <c r="P143" s="8"/>
      <c r="Q143" s="8"/>
      <c r="R143" s="8"/>
      <c r="S143" s="8"/>
      <c r="T143" s="8"/>
      <c r="U143" s="18"/>
      <c r="V143" s="18"/>
      <c r="W143" s="18"/>
      <c r="X143" s="18"/>
      <c r="Y143" s="18"/>
      <c r="Z143" s="8"/>
      <c r="AA143" s="18"/>
      <c r="AB143" s="18"/>
      <c r="AC143" s="8">
        <f t="shared" si="8"/>
        <v>0</v>
      </c>
      <c r="AD143" s="18"/>
      <c r="AE143" s="18"/>
      <c r="AF143" s="8"/>
      <c r="AG143" s="18"/>
      <c r="AH143" s="8"/>
      <c r="AI143" s="8"/>
      <c r="AJ143" s="8"/>
      <c r="AK143" s="8">
        <f t="shared" si="6"/>
        <v>0</v>
      </c>
      <c r="AL143" s="8">
        <f t="shared" si="7"/>
        <v>0</v>
      </c>
      <c r="AM143" s="9"/>
    </row>
    <row r="144" spans="1:39" ht="24.95" customHeight="1">
      <c r="A144" s="10" t="s">
        <v>181</v>
      </c>
      <c r="B144" s="8"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18"/>
      <c r="N144" s="8"/>
      <c r="O144" s="8"/>
      <c r="P144" s="8"/>
      <c r="Q144" s="8"/>
      <c r="R144" s="8"/>
      <c r="S144" s="8"/>
      <c r="T144" s="8"/>
      <c r="U144" s="18"/>
      <c r="V144" s="18"/>
      <c r="W144" s="18"/>
      <c r="X144" s="18"/>
      <c r="Y144" s="18"/>
      <c r="Z144" s="8"/>
      <c r="AA144" s="18"/>
      <c r="AB144" s="18"/>
      <c r="AC144" s="8">
        <f t="shared" si="8"/>
        <v>0</v>
      </c>
      <c r="AD144" s="18"/>
      <c r="AE144" s="18"/>
      <c r="AF144" s="8"/>
      <c r="AG144" s="18"/>
      <c r="AH144" s="8"/>
      <c r="AI144" s="8"/>
      <c r="AJ144" s="8"/>
      <c r="AK144" s="8">
        <f t="shared" si="6"/>
        <v>0</v>
      </c>
      <c r="AL144" s="8">
        <f t="shared" si="7"/>
        <v>0</v>
      </c>
      <c r="AM144" s="9"/>
    </row>
    <row r="145" spans="1:39" ht="24.95" customHeight="1">
      <c r="A145" s="10" t="s">
        <v>182</v>
      </c>
      <c r="B145" s="8">
        <v>1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18"/>
      <c r="N145" s="8"/>
      <c r="O145" s="8"/>
      <c r="P145" s="8"/>
      <c r="Q145" s="8"/>
      <c r="R145" s="8"/>
      <c r="S145" s="8"/>
      <c r="T145" s="8"/>
      <c r="U145" s="18"/>
      <c r="V145" s="18"/>
      <c r="W145" s="18"/>
      <c r="X145" s="18"/>
      <c r="Y145" s="18"/>
      <c r="Z145" s="8"/>
      <c r="AA145" s="18"/>
      <c r="AB145" s="18"/>
      <c r="AC145" s="8">
        <f t="shared" si="8"/>
        <v>0</v>
      </c>
      <c r="AD145" s="18"/>
      <c r="AE145" s="18"/>
      <c r="AF145" s="8"/>
      <c r="AG145" s="18"/>
      <c r="AH145" s="8"/>
      <c r="AI145" s="8"/>
      <c r="AJ145" s="8"/>
      <c r="AK145" s="8">
        <f t="shared" si="6"/>
        <v>0</v>
      </c>
      <c r="AL145" s="8">
        <f t="shared" si="7"/>
        <v>1</v>
      </c>
      <c r="AM145" s="9"/>
    </row>
    <row r="146" spans="1:39" ht="24.95" customHeight="1">
      <c r="A146" s="10" t="s">
        <v>183</v>
      </c>
      <c r="B146" s="8"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18"/>
      <c r="N146" s="8"/>
      <c r="O146" s="8"/>
      <c r="P146" s="8"/>
      <c r="Q146" s="8"/>
      <c r="R146" s="8"/>
      <c r="S146" s="8"/>
      <c r="T146" s="8"/>
      <c r="U146" s="18"/>
      <c r="V146" s="18"/>
      <c r="W146" s="18"/>
      <c r="X146" s="18"/>
      <c r="Y146" s="18"/>
      <c r="Z146" s="8"/>
      <c r="AA146" s="18"/>
      <c r="AB146" s="18"/>
      <c r="AC146" s="8">
        <f t="shared" si="8"/>
        <v>0</v>
      </c>
      <c r="AD146" s="18"/>
      <c r="AE146" s="18"/>
      <c r="AF146" s="8"/>
      <c r="AG146" s="18"/>
      <c r="AH146" s="8"/>
      <c r="AI146" s="8"/>
      <c r="AJ146" s="8"/>
      <c r="AK146" s="8">
        <f t="shared" si="6"/>
        <v>0</v>
      </c>
      <c r="AL146" s="8">
        <f t="shared" si="7"/>
        <v>0</v>
      </c>
      <c r="AM146" s="9"/>
    </row>
    <row r="147" spans="1:39" ht="24.95" customHeight="1">
      <c r="A147" s="10" t="s">
        <v>184</v>
      </c>
      <c r="B147" s="8">
        <v>292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18"/>
      <c r="N147" s="8"/>
      <c r="O147" s="8"/>
      <c r="P147" s="8"/>
      <c r="Q147" s="8"/>
      <c r="R147" s="8"/>
      <c r="S147" s="8"/>
      <c r="T147" s="8"/>
      <c r="U147" s="18"/>
      <c r="V147" s="18"/>
      <c r="W147" s="18"/>
      <c r="X147" s="18"/>
      <c r="Y147" s="18"/>
      <c r="Z147" s="8"/>
      <c r="AA147" s="18">
        <f>+Z153*2</f>
        <v>0</v>
      </c>
      <c r="AB147" s="18"/>
      <c r="AC147" s="8">
        <f t="shared" si="8"/>
        <v>0</v>
      </c>
      <c r="AD147" s="18"/>
      <c r="AE147" s="18">
        <f>+AD150</f>
        <v>0</v>
      </c>
      <c r="AF147" s="8"/>
      <c r="AG147" s="18"/>
      <c r="AH147" s="8"/>
      <c r="AI147" s="8"/>
      <c r="AJ147" s="8">
        <v>1</v>
      </c>
      <c r="AK147" s="8">
        <f t="shared" si="6"/>
        <v>-1</v>
      </c>
      <c r="AL147" s="8">
        <f t="shared" si="7"/>
        <v>291</v>
      </c>
      <c r="AM147" s="9"/>
    </row>
    <row r="148" spans="1:39" ht="24.95" customHeight="1">
      <c r="A148" s="10" t="s">
        <v>185</v>
      </c>
      <c r="B148" s="8">
        <v>140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18"/>
      <c r="N148" s="8"/>
      <c r="O148" s="8"/>
      <c r="P148" s="8"/>
      <c r="Q148" s="8"/>
      <c r="R148" s="8"/>
      <c r="S148" s="8"/>
      <c r="T148" s="8"/>
      <c r="U148" s="18"/>
      <c r="V148" s="18"/>
      <c r="W148" s="18"/>
      <c r="X148" s="18"/>
      <c r="Y148" s="18"/>
      <c r="Z148" s="8"/>
      <c r="AA148" s="18">
        <f>+Z154*2</f>
        <v>0</v>
      </c>
      <c r="AB148" s="18"/>
      <c r="AC148" s="8">
        <f t="shared" si="8"/>
        <v>0</v>
      </c>
      <c r="AD148" s="18"/>
      <c r="AE148" s="18">
        <f>+AD151</f>
        <v>0</v>
      </c>
      <c r="AF148" s="8"/>
      <c r="AG148" s="18"/>
      <c r="AH148" s="8"/>
      <c r="AI148" s="8"/>
      <c r="AJ148" s="8"/>
      <c r="AK148" s="8">
        <f t="shared" si="6"/>
        <v>0</v>
      </c>
      <c r="AL148" s="8">
        <f t="shared" si="7"/>
        <v>140</v>
      </c>
      <c r="AM148" s="9"/>
    </row>
    <row r="149" spans="1:39" ht="24.95" customHeight="1">
      <c r="A149" s="10" t="s">
        <v>186</v>
      </c>
      <c r="B149" s="8">
        <v>4782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18"/>
      <c r="N149" s="8"/>
      <c r="O149" s="8"/>
      <c r="P149" s="8"/>
      <c r="Q149" s="8"/>
      <c r="R149" s="8"/>
      <c r="S149" s="8"/>
      <c r="T149" s="8"/>
      <c r="U149" s="18"/>
      <c r="V149" s="18"/>
      <c r="W149" s="18"/>
      <c r="X149" s="18"/>
      <c r="Y149" s="18"/>
      <c r="Z149" s="8"/>
      <c r="AA149" s="18">
        <f>+Z152*2</f>
        <v>0</v>
      </c>
      <c r="AB149" s="18"/>
      <c r="AC149" s="8">
        <f t="shared" si="8"/>
        <v>0</v>
      </c>
      <c r="AD149" s="18"/>
      <c r="AE149" s="18"/>
      <c r="AF149" s="8"/>
      <c r="AG149" s="18"/>
      <c r="AH149" s="8"/>
      <c r="AI149" s="8"/>
      <c r="AJ149" s="8">
        <v>4</v>
      </c>
      <c r="AK149" s="8">
        <f t="shared" si="6"/>
        <v>-4</v>
      </c>
      <c r="AL149" s="8">
        <f t="shared" si="7"/>
        <v>4778</v>
      </c>
      <c r="AM149" s="9"/>
    </row>
    <row r="150" spans="1:39" ht="24.95" customHeight="1">
      <c r="A150" s="10" t="s">
        <v>187</v>
      </c>
      <c r="B150" s="8">
        <v>2142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18"/>
      <c r="N150" s="8"/>
      <c r="O150" s="8"/>
      <c r="P150" s="8"/>
      <c r="Q150" s="8"/>
      <c r="R150" s="8"/>
      <c r="S150" s="8"/>
      <c r="T150" s="8"/>
      <c r="U150" s="18"/>
      <c r="V150" s="18"/>
      <c r="W150" s="18"/>
      <c r="X150" s="18"/>
      <c r="Y150" s="18"/>
      <c r="Z150" s="8"/>
      <c r="AA150" s="18"/>
      <c r="AB150" s="18"/>
      <c r="AC150" s="8">
        <f t="shared" si="8"/>
        <v>0</v>
      </c>
      <c r="AD150" s="18"/>
      <c r="AE150" s="18">
        <f>+AD147</f>
        <v>0</v>
      </c>
      <c r="AF150" s="8"/>
      <c r="AG150" s="18"/>
      <c r="AH150" s="8"/>
      <c r="AI150" s="8"/>
      <c r="AJ150" s="8"/>
      <c r="AK150" s="8">
        <f t="shared" si="6"/>
        <v>0</v>
      </c>
      <c r="AL150" s="8">
        <f t="shared" si="7"/>
        <v>2142</v>
      </c>
      <c r="AM150" s="9"/>
    </row>
    <row r="151" spans="1:39" ht="24.95" customHeight="1">
      <c r="A151" s="10" t="s">
        <v>188</v>
      </c>
      <c r="B151" s="8">
        <v>2306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18"/>
      <c r="N151" s="8"/>
      <c r="O151" s="8"/>
      <c r="P151" s="8"/>
      <c r="Q151" s="8"/>
      <c r="R151" s="8"/>
      <c r="S151" s="8"/>
      <c r="T151" s="8"/>
      <c r="U151" s="18"/>
      <c r="V151" s="18"/>
      <c r="W151" s="18"/>
      <c r="X151" s="18"/>
      <c r="Y151" s="18"/>
      <c r="Z151" s="8"/>
      <c r="AA151" s="18"/>
      <c r="AB151" s="18"/>
      <c r="AC151" s="8">
        <f t="shared" si="8"/>
        <v>0</v>
      </c>
      <c r="AD151" s="18"/>
      <c r="AE151" s="18">
        <f>+AD148</f>
        <v>0</v>
      </c>
      <c r="AF151" s="8"/>
      <c r="AG151" s="18"/>
      <c r="AH151" s="8"/>
      <c r="AI151" s="8"/>
      <c r="AJ151" s="8"/>
      <c r="AK151" s="8">
        <f t="shared" si="6"/>
        <v>0</v>
      </c>
      <c r="AL151" s="8">
        <f t="shared" si="7"/>
        <v>2306</v>
      </c>
      <c r="AM151" s="9"/>
    </row>
    <row r="152" spans="1:39" ht="24.95" customHeight="1">
      <c r="A152" s="10" t="s">
        <v>189</v>
      </c>
      <c r="B152" s="8"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18"/>
      <c r="N152" s="8"/>
      <c r="O152" s="8"/>
      <c r="P152" s="8"/>
      <c r="Q152" s="8"/>
      <c r="R152" s="8"/>
      <c r="S152" s="8"/>
      <c r="T152" s="8"/>
      <c r="U152" s="18"/>
      <c r="V152" s="18"/>
      <c r="W152" s="18"/>
      <c r="X152" s="18"/>
      <c r="Y152" s="18"/>
      <c r="Z152" s="8"/>
      <c r="AA152" s="18"/>
      <c r="AB152" s="18"/>
      <c r="AC152" s="8">
        <f t="shared" si="8"/>
        <v>0</v>
      </c>
      <c r="AD152" s="18"/>
      <c r="AE152" s="18"/>
      <c r="AF152" s="8"/>
      <c r="AG152" s="18"/>
      <c r="AH152" s="8"/>
      <c r="AI152" s="8"/>
      <c r="AJ152" s="8"/>
      <c r="AK152" s="8">
        <f t="shared" si="6"/>
        <v>0</v>
      </c>
      <c r="AL152" s="8">
        <f t="shared" si="7"/>
        <v>0</v>
      </c>
      <c r="AM152" s="9"/>
    </row>
    <row r="153" spans="1:39" ht="24.95" customHeight="1">
      <c r="A153" s="10" t="s">
        <v>190</v>
      </c>
      <c r="B153" s="8"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18"/>
      <c r="N153" s="8"/>
      <c r="O153" s="8"/>
      <c r="P153" s="8"/>
      <c r="Q153" s="8"/>
      <c r="R153" s="8"/>
      <c r="S153" s="8"/>
      <c r="T153" s="8"/>
      <c r="U153" s="18"/>
      <c r="V153" s="18"/>
      <c r="W153" s="18"/>
      <c r="X153" s="18"/>
      <c r="Y153" s="18"/>
      <c r="Z153" s="8"/>
      <c r="AA153" s="18"/>
      <c r="AB153" s="18"/>
      <c r="AC153" s="8">
        <f t="shared" si="8"/>
        <v>0</v>
      </c>
      <c r="AD153" s="18"/>
      <c r="AE153" s="18"/>
      <c r="AF153" s="8"/>
      <c r="AG153" s="18"/>
      <c r="AH153" s="8"/>
      <c r="AI153" s="8"/>
      <c r="AJ153" s="8"/>
      <c r="AK153" s="8">
        <f t="shared" si="6"/>
        <v>0</v>
      </c>
      <c r="AL153" s="8">
        <f t="shared" si="7"/>
        <v>0</v>
      </c>
      <c r="AM153" s="9"/>
    </row>
    <row r="154" spans="1:39" ht="24.95" customHeight="1">
      <c r="A154" s="10" t="s">
        <v>191</v>
      </c>
      <c r="B154" s="8"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18"/>
      <c r="N154" s="8"/>
      <c r="O154" s="8"/>
      <c r="P154" s="8"/>
      <c r="Q154" s="8"/>
      <c r="R154" s="8"/>
      <c r="S154" s="8"/>
      <c r="T154" s="8"/>
      <c r="U154" s="18"/>
      <c r="V154" s="18"/>
      <c r="W154" s="18"/>
      <c r="X154" s="18"/>
      <c r="Y154" s="18"/>
      <c r="Z154" s="8"/>
      <c r="AA154" s="18"/>
      <c r="AB154" s="18"/>
      <c r="AC154" s="8">
        <f t="shared" si="8"/>
        <v>0</v>
      </c>
      <c r="AD154" s="18"/>
      <c r="AE154" s="18"/>
      <c r="AF154" s="8"/>
      <c r="AG154" s="18"/>
      <c r="AH154" s="8"/>
      <c r="AI154" s="8"/>
      <c r="AJ154" s="8"/>
      <c r="AK154" s="8">
        <f t="shared" si="6"/>
        <v>0</v>
      </c>
      <c r="AL154" s="8">
        <f t="shared" si="7"/>
        <v>0</v>
      </c>
      <c r="AM154" s="9"/>
    </row>
    <row r="155" spans="1:39" ht="24.95" customHeight="1">
      <c r="A155" s="10" t="s">
        <v>192</v>
      </c>
      <c r="B155" s="8">
        <v>3763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18"/>
      <c r="N155" s="8"/>
      <c r="O155" s="8"/>
      <c r="P155" s="8"/>
      <c r="Q155" s="8"/>
      <c r="R155" s="8"/>
      <c r="S155" s="8"/>
      <c r="T155" s="8"/>
      <c r="U155" s="18"/>
      <c r="V155" s="18"/>
      <c r="W155" s="18"/>
      <c r="X155" s="18"/>
      <c r="Y155" s="18"/>
      <c r="Z155" s="8"/>
      <c r="AA155" s="18">
        <f>+Z159*2</f>
        <v>0</v>
      </c>
      <c r="AB155" s="18"/>
      <c r="AC155" s="8">
        <f t="shared" si="8"/>
        <v>0</v>
      </c>
      <c r="AD155" s="18"/>
      <c r="AE155" s="18">
        <f>+AD157</f>
        <v>0</v>
      </c>
      <c r="AF155" s="8"/>
      <c r="AG155" s="18"/>
      <c r="AH155" s="8"/>
      <c r="AI155" s="8"/>
      <c r="AJ155" s="8"/>
      <c r="AK155" s="8">
        <f t="shared" si="6"/>
        <v>0</v>
      </c>
      <c r="AL155" s="8">
        <f t="shared" si="7"/>
        <v>3763</v>
      </c>
      <c r="AM155" s="9"/>
    </row>
    <row r="156" spans="1:39" ht="24.95" customHeight="1">
      <c r="A156" s="10" t="s">
        <v>193</v>
      </c>
      <c r="B156" s="8">
        <v>1783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18"/>
      <c r="N156" s="8"/>
      <c r="O156" s="8"/>
      <c r="P156" s="8"/>
      <c r="Q156" s="8"/>
      <c r="R156" s="8"/>
      <c r="S156" s="8"/>
      <c r="T156" s="8"/>
      <c r="U156" s="18"/>
      <c r="V156" s="18"/>
      <c r="W156" s="18"/>
      <c r="X156" s="18"/>
      <c r="Y156" s="18"/>
      <c r="Z156" s="8"/>
      <c r="AA156" s="18">
        <f>+Z160*2</f>
        <v>0</v>
      </c>
      <c r="AB156" s="18"/>
      <c r="AC156" s="8">
        <f t="shared" si="8"/>
        <v>0</v>
      </c>
      <c r="AD156" s="18"/>
      <c r="AE156" s="18">
        <f>+AD158</f>
        <v>0</v>
      </c>
      <c r="AF156" s="8"/>
      <c r="AG156" s="18"/>
      <c r="AH156" s="8"/>
      <c r="AI156" s="8"/>
      <c r="AJ156" s="8"/>
      <c r="AK156" s="8">
        <f t="shared" si="6"/>
        <v>0</v>
      </c>
      <c r="AL156" s="8">
        <f t="shared" si="7"/>
        <v>1783</v>
      </c>
      <c r="AM156" s="9"/>
    </row>
    <row r="157" spans="1:39" ht="24.95" customHeight="1">
      <c r="A157" s="10" t="s">
        <v>194</v>
      </c>
      <c r="B157" s="8"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18"/>
      <c r="N157" s="8"/>
      <c r="O157" s="8"/>
      <c r="P157" s="8"/>
      <c r="Q157" s="8"/>
      <c r="R157" s="8"/>
      <c r="S157" s="8"/>
      <c r="T157" s="8"/>
      <c r="U157" s="18"/>
      <c r="V157" s="18"/>
      <c r="W157" s="18"/>
      <c r="X157" s="18"/>
      <c r="Y157" s="18"/>
      <c r="Z157" s="8"/>
      <c r="AA157" s="18"/>
      <c r="AB157" s="18"/>
      <c r="AC157" s="8">
        <f t="shared" si="8"/>
        <v>0</v>
      </c>
      <c r="AD157" s="18"/>
      <c r="AE157" s="18"/>
      <c r="AF157" s="8"/>
      <c r="AG157" s="18"/>
      <c r="AH157" s="8"/>
      <c r="AI157" s="8"/>
      <c r="AJ157" s="8"/>
      <c r="AK157" s="8">
        <f t="shared" si="6"/>
        <v>0</v>
      </c>
      <c r="AL157" s="8">
        <f t="shared" si="7"/>
        <v>0</v>
      </c>
      <c r="AM157" s="9"/>
    </row>
    <row r="158" spans="1:39" ht="24.95" customHeight="1">
      <c r="A158" s="10" t="s">
        <v>195</v>
      </c>
      <c r="B158" s="8"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18"/>
      <c r="N158" s="8"/>
      <c r="O158" s="8"/>
      <c r="P158" s="8"/>
      <c r="Q158" s="8"/>
      <c r="R158" s="8"/>
      <c r="S158" s="8"/>
      <c r="T158" s="8"/>
      <c r="U158" s="18"/>
      <c r="V158" s="18"/>
      <c r="W158" s="18"/>
      <c r="X158" s="18"/>
      <c r="Y158" s="18"/>
      <c r="Z158" s="8"/>
      <c r="AA158" s="18"/>
      <c r="AB158" s="18"/>
      <c r="AC158" s="8">
        <f t="shared" si="8"/>
        <v>0</v>
      </c>
      <c r="AD158" s="18"/>
      <c r="AE158" s="18"/>
      <c r="AF158" s="8"/>
      <c r="AG158" s="18"/>
      <c r="AH158" s="8"/>
      <c r="AI158" s="8"/>
      <c r="AJ158" s="8"/>
      <c r="AK158" s="8">
        <f t="shared" si="6"/>
        <v>0</v>
      </c>
      <c r="AL158" s="8">
        <f t="shared" si="7"/>
        <v>0</v>
      </c>
      <c r="AM158" s="9"/>
    </row>
    <row r="159" spans="1:39" ht="24.95" customHeight="1">
      <c r="A159" s="10" t="s">
        <v>196</v>
      </c>
      <c r="B159" s="8"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18"/>
      <c r="N159" s="8"/>
      <c r="O159" s="8"/>
      <c r="P159" s="8"/>
      <c r="Q159" s="8"/>
      <c r="R159" s="8"/>
      <c r="S159" s="8"/>
      <c r="T159" s="8"/>
      <c r="U159" s="18"/>
      <c r="V159" s="18"/>
      <c r="W159" s="18"/>
      <c r="X159" s="18"/>
      <c r="Y159" s="18"/>
      <c r="Z159" s="8"/>
      <c r="AA159" s="18"/>
      <c r="AB159" s="18"/>
      <c r="AC159" s="8">
        <f t="shared" si="8"/>
        <v>0</v>
      </c>
      <c r="AD159" s="18"/>
      <c r="AE159" s="18"/>
      <c r="AF159" s="8"/>
      <c r="AG159" s="18"/>
      <c r="AH159" s="8"/>
      <c r="AI159" s="8"/>
      <c r="AJ159" s="8"/>
      <c r="AK159" s="8">
        <f t="shared" si="6"/>
        <v>0</v>
      </c>
      <c r="AL159" s="8">
        <f t="shared" si="7"/>
        <v>0</v>
      </c>
      <c r="AM159" s="9"/>
    </row>
    <row r="160" spans="1:39" ht="24.95" customHeight="1">
      <c r="A160" s="10" t="s">
        <v>197</v>
      </c>
      <c r="B160" s="8"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18"/>
      <c r="N160" s="8"/>
      <c r="O160" s="8"/>
      <c r="P160" s="8"/>
      <c r="Q160" s="8"/>
      <c r="R160" s="8"/>
      <c r="S160" s="8"/>
      <c r="T160" s="8"/>
      <c r="U160" s="18"/>
      <c r="V160" s="18"/>
      <c r="W160" s="18"/>
      <c r="X160" s="18"/>
      <c r="Y160" s="18"/>
      <c r="Z160" s="8"/>
      <c r="AA160" s="18"/>
      <c r="AB160" s="18"/>
      <c r="AC160" s="8">
        <f t="shared" si="8"/>
        <v>0</v>
      </c>
      <c r="AD160" s="18"/>
      <c r="AE160" s="18"/>
      <c r="AF160" s="8"/>
      <c r="AG160" s="18"/>
      <c r="AH160" s="8"/>
      <c r="AI160" s="8"/>
      <c r="AJ160" s="8"/>
      <c r="AK160" s="8">
        <f t="shared" si="6"/>
        <v>0</v>
      </c>
      <c r="AL160" s="8">
        <f t="shared" si="7"/>
        <v>0</v>
      </c>
      <c r="AM160" s="9"/>
    </row>
    <row r="161" spans="1:39" ht="24.95" customHeight="1">
      <c r="A161" s="10" t="s">
        <v>198</v>
      </c>
      <c r="B161" s="8"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18"/>
      <c r="N161" s="8"/>
      <c r="O161" s="8"/>
      <c r="P161" s="8"/>
      <c r="Q161" s="8"/>
      <c r="R161" s="8"/>
      <c r="S161" s="8"/>
      <c r="T161" s="8"/>
      <c r="U161" s="18"/>
      <c r="V161" s="18"/>
      <c r="W161" s="18"/>
      <c r="X161" s="18"/>
      <c r="Y161" s="18"/>
      <c r="Z161" s="8"/>
      <c r="AA161" s="18"/>
      <c r="AB161" s="18"/>
      <c r="AC161" s="8">
        <f t="shared" si="8"/>
        <v>0</v>
      </c>
      <c r="AD161" s="18"/>
      <c r="AE161" s="18">
        <f>+AD163</f>
        <v>0</v>
      </c>
      <c r="AF161" s="8"/>
      <c r="AG161" s="18"/>
      <c r="AH161" s="8"/>
      <c r="AI161" s="8"/>
      <c r="AJ161" s="8"/>
      <c r="AK161" s="8">
        <f t="shared" si="6"/>
        <v>0</v>
      </c>
      <c r="AL161" s="8">
        <f t="shared" si="7"/>
        <v>0</v>
      </c>
      <c r="AM161" s="9"/>
    </row>
    <row r="162" spans="1:39" ht="24.95" customHeight="1">
      <c r="A162" s="10" t="s">
        <v>199</v>
      </c>
      <c r="B162" s="8">
        <v>1143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18"/>
      <c r="N162" s="8"/>
      <c r="O162" s="8"/>
      <c r="P162" s="8"/>
      <c r="Q162" s="8"/>
      <c r="R162" s="8"/>
      <c r="S162" s="8"/>
      <c r="T162" s="8"/>
      <c r="U162" s="18"/>
      <c r="V162" s="18"/>
      <c r="W162" s="18"/>
      <c r="X162" s="18"/>
      <c r="Y162" s="18"/>
      <c r="Z162" s="8"/>
      <c r="AA162" s="18">
        <f>+Z166*2</f>
        <v>0</v>
      </c>
      <c r="AB162" s="18"/>
      <c r="AC162" s="8">
        <f t="shared" si="8"/>
        <v>0</v>
      </c>
      <c r="AD162" s="18"/>
      <c r="AE162" s="18">
        <f>+AD164</f>
        <v>0</v>
      </c>
      <c r="AF162" s="8"/>
      <c r="AG162" s="18"/>
      <c r="AH162" s="8"/>
      <c r="AI162" s="8"/>
      <c r="AJ162" s="8"/>
      <c r="AK162" s="8">
        <f t="shared" si="6"/>
        <v>0</v>
      </c>
      <c r="AL162" s="8">
        <f t="shared" si="7"/>
        <v>1143</v>
      </c>
      <c r="AM162" s="9"/>
    </row>
    <row r="163" spans="1:39" ht="24.95" customHeight="1">
      <c r="A163" s="10" t="s">
        <v>200</v>
      </c>
      <c r="B163" s="8">
        <v>1002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18"/>
      <c r="N163" s="8"/>
      <c r="O163" s="8"/>
      <c r="P163" s="8"/>
      <c r="Q163" s="8"/>
      <c r="R163" s="8"/>
      <c r="S163" s="8"/>
      <c r="T163" s="8"/>
      <c r="U163" s="18"/>
      <c r="V163" s="18"/>
      <c r="W163" s="18"/>
      <c r="X163" s="18"/>
      <c r="Y163" s="18"/>
      <c r="Z163" s="8"/>
      <c r="AA163" s="18">
        <f>+Z165*2</f>
        <v>0</v>
      </c>
      <c r="AB163" s="18"/>
      <c r="AC163" s="8">
        <f t="shared" si="8"/>
        <v>0</v>
      </c>
      <c r="AD163" s="18"/>
      <c r="AE163" s="18">
        <f>+AD161</f>
        <v>0</v>
      </c>
      <c r="AF163" s="8"/>
      <c r="AG163" s="18"/>
      <c r="AH163" s="8"/>
      <c r="AI163" s="8"/>
      <c r="AJ163" s="8">
        <v>31</v>
      </c>
      <c r="AK163" s="8">
        <f t="shared" si="6"/>
        <v>-31</v>
      </c>
      <c r="AL163" s="8">
        <f t="shared" si="7"/>
        <v>971</v>
      </c>
      <c r="AM163" s="9"/>
    </row>
    <row r="164" spans="1:39" ht="24.95" customHeight="1">
      <c r="A164" s="10" t="s">
        <v>201</v>
      </c>
      <c r="B164" s="8">
        <v>113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18"/>
      <c r="N164" s="8"/>
      <c r="O164" s="8"/>
      <c r="P164" s="8"/>
      <c r="Q164" s="8"/>
      <c r="R164" s="8"/>
      <c r="S164" s="8"/>
      <c r="T164" s="8"/>
      <c r="U164" s="18"/>
      <c r="V164" s="18"/>
      <c r="W164" s="18"/>
      <c r="X164" s="18"/>
      <c r="Y164" s="18"/>
      <c r="Z164" s="8"/>
      <c r="AA164" s="18"/>
      <c r="AB164" s="18"/>
      <c r="AC164" s="8">
        <f t="shared" si="8"/>
        <v>0</v>
      </c>
      <c r="AD164" s="18"/>
      <c r="AE164" s="18"/>
      <c r="AF164" s="8"/>
      <c r="AG164" s="18"/>
      <c r="AH164" s="8"/>
      <c r="AI164" s="8"/>
      <c r="AJ164" s="8"/>
      <c r="AK164" s="8">
        <f t="shared" si="6"/>
        <v>0</v>
      </c>
      <c r="AL164" s="8">
        <f t="shared" si="7"/>
        <v>113</v>
      </c>
      <c r="AM164" s="9"/>
    </row>
    <row r="165" spans="1:39" ht="24.95" customHeight="1">
      <c r="A165" s="10" t="s">
        <v>202</v>
      </c>
      <c r="B165" s="8"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18"/>
      <c r="N165" s="8"/>
      <c r="O165" s="8"/>
      <c r="P165" s="8"/>
      <c r="Q165" s="8"/>
      <c r="R165" s="8"/>
      <c r="S165" s="8"/>
      <c r="T165" s="8"/>
      <c r="U165" s="18"/>
      <c r="V165" s="18"/>
      <c r="W165" s="18"/>
      <c r="X165" s="18"/>
      <c r="Y165" s="18"/>
      <c r="Z165" s="8"/>
      <c r="AA165" s="18"/>
      <c r="AB165" s="18"/>
      <c r="AC165" s="8">
        <f t="shared" si="8"/>
        <v>0</v>
      </c>
      <c r="AD165" s="18"/>
      <c r="AE165" s="18"/>
      <c r="AF165" s="8"/>
      <c r="AG165" s="18"/>
      <c r="AH165" s="8"/>
      <c r="AI165" s="8"/>
      <c r="AJ165" s="8"/>
      <c r="AK165" s="8">
        <f t="shared" si="6"/>
        <v>0</v>
      </c>
      <c r="AL165" s="8">
        <f t="shared" si="7"/>
        <v>0</v>
      </c>
      <c r="AM165" s="9"/>
    </row>
    <row r="166" spans="1:39" ht="24.95" customHeight="1">
      <c r="A166" s="10" t="s">
        <v>203</v>
      </c>
      <c r="B166" s="8"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18"/>
      <c r="N166" s="8"/>
      <c r="O166" s="8"/>
      <c r="P166" s="8"/>
      <c r="Q166" s="8"/>
      <c r="R166" s="8"/>
      <c r="S166" s="8"/>
      <c r="T166" s="8"/>
      <c r="U166" s="18"/>
      <c r="V166" s="18"/>
      <c r="W166" s="18"/>
      <c r="X166" s="18"/>
      <c r="Y166" s="18"/>
      <c r="Z166" s="8"/>
      <c r="AA166" s="18"/>
      <c r="AB166" s="18"/>
      <c r="AC166" s="8">
        <f t="shared" si="8"/>
        <v>0</v>
      </c>
      <c r="AD166" s="18"/>
      <c r="AE166" s="18"/>
      <c r="AF166" s="8"/>
      <c r="AG166" s="18"/>
      <c r="AH166" s="8"/>
      <c r="AI166" s="8"/>
      <c r="AJ166" s="8"/>
      <c r="AK166" s="8">
        <f t="shared" si="6"/>
        <v>0</v>
      </c>
      <c r="AL166" s="8">
        <f t="shared" si="7"/>
        <v>0</v>
      </c>
      <c r="AM166" s="9"/>
    </row>
    <row r="167" spans="1:39" ht="24.95" customHeight="1">
      <c r="A167" s="10" t="s">
        <v>204</v>
      </c>
      <c r="B167" s="8">
        <v>870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18"/>
      <c r="N167" s="8"/>
      <c r="O167" s="8"/>
      <c r="P167" s="8"/>
      <c r="Q167" s="8"/>
      <c r="R167" s="8"/>
      <c r="S167" s="8"/>
      <c r="T167" s="8"/>
      <c r="U167" s="18"/>
      <c r="V167" s="18"/>
      <c r="W167" s="18"/>
      <c r="X167" s="18"/>
      <c r="Y167" s="18"/>
      <c r="Z167" s="8"/>
      <c r="AA167" s="18">
        <f>+Z170*2</f>
        <v>0</v>
      </c>
      <c r="AB167" s="18"/>
      <c r="AC167" s="8">
        <f t="shared" si="8"/>
        <v>0</v>
      </c>
      <c r="AD167" s="18"/>
      <c r="AE167" s="18">
        <f>+AD169</f>
        <v>0</v>
      </c>
      <c r="AF167" s="8"/>
      <c r="AG167" s="18"/>
      <c r="AH167" s="8"/>
      <c r="AI167" s="8"/>
      <c r="AJ167" s="8">
        <v>1</v>
      </c>
      <c r="AK167" s="8">
        <f t="shared" si="6"/>
        <v>-1</v>
      </c>
      <c r="AL167" s="8">
        <f t="shared" si="7"/>
        <v>869</v>
      </c>
      <c r="AM167" s="9"/>
    </row>
    <row r="168" spans="1:39" ht="24.95" customHeight="1">
      <c r="A168" s="10" t="s">
        <v>205</v>
      </c>
      <c r="B168" s="8"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18"/>
      <c r="N168" s="8"/>
      <c r="O168" s="8"/>
      <c r="P168" s="8"/>
      <c r="Q168" s="8"/>
      <c r="R168" s="8"/>
      <c r="S168" s="8"/>
      <c r="T168" s="8"/>
      <c r="U168" s="18"/>
      <c r="V168" s="18"/>
      <c r="W168" s="18"/>
      <c r="X168" s="18"/>
      <c r="Y168" s="18"/>
      <c r="Z168" s="8"/>
      <c r="AA168" s="18"/>
      <c r="AB168" s="18"/>
      <c r="AC168" s="8">
        <f t="shared" si="8"/>
        <v>0</v>
      </c>
      <c r="AD168" s="18"/>
      <c r="AE168" s="18"/>
      <c r="AF168" s="8"/>
      <c r="AG168" s="18"/>
      <c r="AH168" s="8"/>
      <c r="AI168" s="8"/>
      <c r="AJ168" s="8"/>
      <c r="AK168" s="8">
        <f t="shared" si="6"/>
        <v>0</v>
      </c>
      <c r="AL168" s="8">
        <f t="shared" si="7"/>
        <v>0</v>
      </c>
      <c r="AM168" s="9"/>
    </row>
    <row r="169" spans="1:39" ht="24.95" customHeight="1">
      <c r="A169" s="10" t="s">
        <v>206</v>
      </c>
      <c r="B169" s="8">
        <v>638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18"/>
      <c r="N169" s="8"/>
      <c r="O169" s="8"/>
      <c r="P169" s="8"/>
      <c r="Q169" s="8"/>
      <c r="R169" s="8">
        <v>12</v>
      </c>
      <c r="S169" s="8"/>
      <c r="T169" s="8"/>
      <c r="U169" s="18"/>
      <c r="V169" s="18"/>
      <c r="W169" s="18"/>
      <c r="X169" s="18"/>
      <c r="Y169" s="18"/>
      <c r="Z169" s="8"/>
      <c r="AA169" s="18"/>
      <c r="AB169" s="18"/>
      <c r="AC169" s="8">
        <f t="shared" si="8"/>
        <v>0</v>
      </c>
      <c r="AD169" s="18"/>
      <c r="AE169" s="18"/>
      <c r="AF169" s="8"/>
      <c r="AG169" s="18"/>
      <c r="AH169" s="8"/>
      <c r="AI169" s="8"/>
      <c r="AJ169" s="8"/>
      <c r="AK169" s="8">
        <f t="shared" si="6"/>
        <v>-12</v>
      </c>
      <c r="AL169" s="8">
        <f t="shared" si="7"/>
        <v>626</v>
      </c>
      <c r="AM169" s="9"/>
    </row>
    <row r="170" spans="1:39" ht="24.95" customHeight="1">
      <c r="A170" s="10" t="s">
        <v>207</v>
      </c>
      <c r="B170" s="8">
        <v>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18"/>
      <c r="N170" s="8"/>
      <c r="O170" s="8"/>
      <c r="P170" s="8"/>
      <c r="Q170" s="8"/>
      <c r="R170" s="8"/>
      <c r="S170" s="8"/>
      <c r="T170" s="8"/>
      <c r="U170" s="18"/>
      <c r="V170" s="18"/>
      <c r="W170" s="18"/>
      <c r="X170" s="18"/>
      <c r="Y170" s="18"/>
      <c r="Z170" s="8"/>
      <c r="AA170" s="18"/>
      <c r="AB170" s="18"/>
      <c r="AC170" s="8">
        <f t="shared" si="8"/>
        <v>0</v>
      </c>
      <c r="AD170" s="18"/>
      <c r="AE170" s="18"/>
      <c r="AF170" s="8"/>
      <c r="AG170" s="18"/>
      <c r="AH170" s="8"/>
      <c r="AI170" s="8"/>
      <c r="AJ170" s="8"/>
      <c r="AK170" s="8">
        <f t="shared" si="6"/>
        <v>0</v>
      </c>
      <c r="AL170" s="8">
        <f t="shared" si="7"/>
        <v>0</v>
      </c>
      <c r="AM170" s="9"/>
    </row>
    <row r="171" spans="1:39" ht="24.95" customHeight="1">
      <c r="A171" s="10" t="s">
        <v>208</v>
      </c>
      <c r="B171" s="8">
        <v>0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18"/>
      <c r="N171" s="8"/>
      <c r="O171" s="8"/>
      <c r="P171" s="8"/>
      <c r="Q171" s="8"/>
      <c r="R171" s="8"/>
      <c r="S171" s="8"/>
      <c r="T171" s="8"/>
      <c r="U171" s="18"/>
      <c r="V171" s="18"/>
      <c r="W171" s="18"/>
      <c r="X171" s="18"/>
      <c r="Y171" s="18"/>
      <c r="Z171" s="8"/>
      <c r="AA171" s="18"/>
      <c r="AB171" s="18"/>
      <c r="AC171" s="8">
        <f t="shared" si="8"/>
        <v>0</v>
      </c>
      <c r="AD171" s="18"/>
      <c r="AE171" s="18">
        <f>+AD173</f>
        <v>0</v>
      </c>
      <c r="AF171" s="8"/>
      <c r="AG171" s="18"/>
      <c r="AH171" s="8"/>
      <c r="AI171" s="8"/>
      <c r="AJ171" s="8"/>
      <c r="AK171" s="8">
        <f t="shared" si="6"/>
        <v>0</v>
      </c>
      <c r="AL171" s="8">
        <f t="shared" si="7"/>
        <v>0</v>
      </c>
      <c r="AM171" s="9"/>
    </row>
    <row r="172" spans="1:39" ht="24.95" customHeight="1">
      <c r="A172" s="10" t="s">
        <v>209</v>
      </c>
      <c r="B172" s="8"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18"/>
      <c r="N172" s="8"/>
      <c r="O172" s="8"/>
      <c r="P172" s="8"/>
      <c r="Q172" s="8"/>
      <c r="R172" s="8"/>
      <c r="S172" s="8"/>
      <c r="T172" s="8"/>
      <c r="U172" s="18"/>
      <c r="V172" s="18"/>
      <c r="W172" s="18"/>
      <c r="X172" s="18"/>
      <c r="Y172" s="18"/>
      <c r="Z172" s="8"/>
      <c r="AA172" s="18"/>
      <c r="AB172" s="18"/>
      <c r="AC172" s="8">
        <f t="shared" si="8"/>
        <v>0</v>
      </c>
      <c r="AD172" s="18"/>
      <c r="AE172" s="18"/>
      <c r="AF172" s="8"/>
      <c r="AG172" s="18"/>
      <c r="AH172" s="8"/>
      <c r="AI172" s="8"/>
      <c r="AJ172" s="8"/>
      <c r="AK172" s="8">
        <f t="shared" si="6"/>
        <v>0</v>
      </c>
      <c r="AL172" s="8">
        <f t="shared" si="7"/>
        <v>0</v>
      </c>
      <c r="AM172" s="9"/>
    </row>
    <row r="173" spans="1:39" ht="24.95" customHeight="1">
      <c r="A173" s="10" t="s">
        <v>210</v>
      </c>
      <c r="B173" s="8"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18"/>
      <c r="N173" s="8"/>
      <c r="O173" s="8"/>
      <c r="P173" s="8"/>
      <c r="Q173" s="8"/>
      <c r="R173" s="8"/>
      <c r="S173" s="8"/>
      <c r="T173" s="8"/>
      <c r="U173" s="18"/>
      <c r="V173" s="18"/>
      <c r="W173" s="18"/>
      <c r="X173" s="18"/>
      <c r="Y173" s="18"/>
      <c r="Z173" s="8"/>
      <c r="AA173" s="18"/>
      <c r="AB173" s="18"/>
      <c r="AC173" s="8">
        <f t="shared" si="8"/>
        <v>0</v>
      </c>
      <c r="AD173" s="18"/>
      <c r="AE173" s="18"/>
      <c r="AF173" s="8"/>
      <c r="AG173" s="18"/>
      <c r="AH173" s="8"/>
      <c r="AI173" s="8"/>
      <c r="AJ173" s="8"/>
      <c r="AK173" s="8">
        <f t="shared" si="6"/>
        <v>0</v>
      </c>
      <c r="AL173" s="8">
        <f t="shared" si="7"/>
        <v>0</v>
      </c>
      <c r="AM173" s="9"/>
    </row>
    <row r="174" spans="1:39" ht="24.95" customHeight="1">
      <c r="A174" s="10" t="s">
        <v>211</v>
      </c>
      <c r="B174" s="8"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18"/>
      <c r="N174" s="8"/>
      <c r="O174" s="8"/>
      <c r="P174" s="8"/>
      <c r="Q174" s="8"/>
      <c r="R174" s="8"/>
      <c r="S174" s="8"/>
      <c r="T174" s="8"/>
      <c r="U174" s="18"/>
      <c r="V174" s="18"/>
      <c r="W174" s="18"/>
      <c r="X174" s="18"/>
      <c r="Y174" s="18"/>
      <c r="Z174" s="8"/>
      <c r="AA174" s="18"/>
      <c r="AB174" s="18"/>
      <c r="AC174" s="8">
        <f t="shared" si="8"/>
        <v>0</v>
      </c>
      <c r="AD174" s="18"/>
      <c r="AE174" s="18"/>
      <c r="AF174" s="8"/>
      <c r="AG174" s="18"/>
      <c r="AH174" s="8"/>
      <c r="AI174" s="8"/>
      <c r="AJ174" s="8"/>
      <c r="AK174" s="8">
        <f t="shared" si="6"/>
        <v>0</v>
      </c>
      <c r="AL174" s="8">
        <f t="shared" si="7"/>
        <v>0</v>
      </c>
      <c r="AM174" s="9"/>
    </row>
    <row r="175" spans="1:39" ht="24.95" customHeight="1">
      <c r="A175" s="10" t="s">
        <v>212</v>
      </c>
      <c r="B175" s="8"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18"/>
      <c r="N175" s="8"/>
      <c r="O175" s="8"/>
      <c r="P175" s="8"/>
      <c r="Q175" s="8"/>
      <c r="R175" s="8"/>
      <c r="S175" s="8"/>
      <c r="T175" s="8"/>
      <c r="U175" s="18"/>
      <c r="V175" s="18"/>
      <c r="W175" s="18"/>
      <c r="X175" s="18">
        <f>+Y176*2</f>
        <v>0</v>
      </c>
      <c r="Y175" s="18"/>
      <c r="Z175" s="8"/>
      <c r="AA175" s="18">
        <f>+Z180*4</f>
        <v>12</v>
      </c>
      <c r="AB175" s="18"/>
      <c r="AC175" s="8">
        <f t="shared" si="8"/>
        <v>0</v>
      </c>
      <c r="AD175" s="18">
        <v>15</v>
      </c>
      <c r="AE175" s="18">
        <f>+AD178</f>
        <v>0</v>
      </c>
      <c r="AF175" s="8"/>
      <c r="AG175" s="18"/>
      <c r="AH175" s="8"/>
      <c r="AI175" s="8"/>
      <c r="AJ175" s="8">
        <v>3</v>
      </c>
      <c r="AK175" s="8">
        <f t="shared" si="6"/>
        <v>0</v>
      </c>
      <c r="AL175" s="8">
        <f t="shared" si="7"/>
        <v>0</v>
      </c>
      <c r="AM175" s="9"/>
    </row>
    <row r="176" spans="1:39" ht="24.95" customHeight="1">
      <c r="A176" s="10" t="s">
        <v>213</v>
      </c>
      <c r="B176" s="8">
        <v>0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18"/>
      <c r="N176" s="8"/>
      <c r="O176" s="8"/>
      <c r="P176" s="8"/>
      <c r="Q176" s="8"/>
      <c r="R176" s="8"/>
      <c r="S176" s="8"/>
      <c r="T176" s="8"/>
      <c r="U176" s="18"/>
      <c r="V176" s="18"/>
      <c r="W176" s="18"/>
      <c r="X176" s="18"/>
      <c r="Y176" s="18"/>
      <c r="Z176" s="8"/>
      <c r="AA176" s="18"/>
      <c r="AB176" s="18"/>
      <c r="AC176" s="8">
        <f t="shared" si="8"/>
        <v>0</v>
      </c>
      <c r="AD176" s="18"/>
      <c r="AE176" s="18">
        <f>+AD179</f>
        <v>0</v>
      </c>
      <c r="AF176" s="8"/>
      <c r="AG176" s="18"/>
      <c r="AH176" s="8"/>
      <c r="AI176" s="8"/>
      <c r="AJ176" s="8"/>
      <c r="AK176" s="8">
        <f t="shared" si="6"/>
        <v>0</v>
      </c>
      <c r="AL176" s="8">
        <f t="shared" si="7"/>
        <v>0</v>
      </c>
      <c r="AM176" s="9"/>
    </row>
    <row r="177" spans="1:39" ht="24.95" customHeight="1">
      <c r="A177" s="10" t="s">
        <v>214</v>
      </c>
      <c r="B177" s="8"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18"/>
      <c r="N177" s="8"/>
      <c r="O177" s="8"/>
      <c r="P177" s="8"/>
      <c r="Q177" s="8"/>
      <c r="R177" s="8"/>
      <c r="S177" s="8"/>
      <c r="T177" s="8"/>
      <c r="U177" s="18"/>
      <c r="V177" s="18"/>
      <c r="W177" s="18"/>
      <c r="X177" s="18"/>
      <c r="Y177" s="18"/>
      <c r="Z177" s="8"/>
      <c r="AA177" s="18"/>
      <c r="AB177" s="18"/>
      <c r="AC177" s="8">
        <f t="shared" si="8"/>
        <v>0</v>
      </c>
      <c r="AD177" s="18"/>
      <c r="AE177" s="18"/>
      <c r="AF177" s="8"/>
      <c r="AG177" s="18"/>
      <c r="AH177" s="8"/>
      <c r="AI177" s="8"/>
      <c r="AJ177" s="8"/>
      <c r="AK177" s="8">
        <f t="shared" si="6"/>
        <v>0</v>
      </c>
      <c r="AL177" s="8">
        <f t="shared" si="7"/>
        <v>0</v>
      </c>
      <c r="AM177" s="9"/>
    </row>
    <row r="178" spans="1:39" ht="24.95" customHeight="1">
      <c r="A178" s="10" t="s">
        <v>215</v>
      </c>
      <c r="B178" s="8">
        <v>1915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18"/>
      <c r="N178" s="8"/>
      <c r="O178" s="8"/>
      <c r="P178" s="8"/>
      <c r="Q178" s="8"/>
      <c r="R178" s="8"/>
      <c r="S178" s="8"/>
      <c r="T178" s="8"/>
      <c r="U178" s="18"/>
      <c r="V178" s="18"/>
      <c r="W178" s="18"/>
      <c r="X178" s="18"/>
      <c r="Y178" s="18"/>
      <c r="Z178" s="8"/>
      <c r="AA178" s="18"/>
      <c r="AB178" s="18"/>
      <c r="AC178" s="8">
        <f t="shared" si="8"/>
        <v>0</v>
      </c>
      <c r="AD178" s="18"/>
      <c r="AE178" s="18">
        <f>AD175</f>
        <v>15</v>
      </c>
      <c r="AF178" s="8"/>
      <c r="AG178" s="18"/>
      <c r="AH178" s="8"/>
      <c r="AI178" s="8"/>
      <c r="AJ178" s="8">
        <v>4</v>
      </c>
      <c r="AK178" s="8">
        <f t="shared" si="6"/>
        <v>-19</v>
      </c>
      <c r="AL178" s="8">
        <f t="shared" si="7"/>
        <v>1896</v>
      </c>
      <c r="AM178" s="9"/>
    </row>
    <row r="179" spans="1:39" ht="24.95" customHeight="1">
      <c r="A179" s="10" t="s">
        <v>216</v>
      </c>
      <c r="B179" s="8">
        <v>1410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18"/>
      <c r="N179" s="8"/>
      <c r="O179" s="8"/>
      <c r="P179" s="8"/>
      <c r="Q179" s="8"/>
      <c r="R179" s="8"/>
      <c r="S179" s="8"/>
      <c r="T179" s="8"/>
      <c r="U179" s="18"/>
      <c r="V179" s="18"/>
      <c r="W179" s="18"/>
      <c r="X179" s="18"/>
      <c r="Y179" s="18"/>
      <c r="Z179" s="8"/>
      <c r="AA179" s="18"/>
      <c r="AB179" s="18"/>
      <c r="AC179" s="8">
        <f t="shared" si="8"/>
        <v>0</v>
      </c>
      <c r="AD179" s="18"/>
      <c r="AE179" s="18"/>
      <c r="AF179" s="8"/>
      <c r="AG179" s="18"/>
      <c r="AH179" s="8"/>
      <c r="AI179" s="8"/>
      <c r="AJ179" s="8"/>
      <c r="AK179" s="8">
        <f t="shared" si="6"/>
        <v>0</v>
      </c>
      <c r="AL179" s="8">
        <f t="shared" si="7"/>
        <v>1410</v>
      </c>
      <c r="AM179" s="9"/>
    </row>
    <row r="180" spans="1:39" ht="24.95" customHeight="1">
      <c r="A180" s="10" t="s">
        <v>217</v>
      </c>
      <c r="B180" s="8">
        <v>0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18"/>
      <c r="N180" s="8"/>
      <c r="O180" s="8"/>
      <c r="P180" s="8"/>
      <c r="Q180" s="8"/>
      <c r="R180" s="8">
        <v>3</v>
      </c>
      <c r="S180" s="8"/>
      <c r="T180" s="8"/>
      <c r="U180" s="18"/>
      <c r="V180" s="18"/>
      <c r="W180" s="18"/>
      <c r="X180" s="18"/>
      <c r="Y180" s="18"/>
      <c r="Z180" s="8">
        <v>3</v>
      </c>
      <c r="AA180" s="18"/>
      <c r="AB180" s="18"/>
      <c r="AC180" s="8">
        <f t="shared" si="8"/>
        <v>0</v>
      </c>
      <c r="AD180" s="18"/>
      <c r="AE180" s="18"/>
      <c r="AF180" s="8"/>
      <c r="AG180" s="18"/>
      <c r="AH180" s="8"/>
      <c r="AI180" s="8"/>
      <c r="AJ180" s="8"/>
      <c r="AK180" s="8">
        <f t="shared" si="6"/>
        <v>0</v>
      </c>
      <c r="AL180" s="8">
        <f t="shared" si="7"/>
        <v>0</v>
      </c>
      <c r="AM180" s="9"/>
    </row>
    <row r="181" spans="1:39" ht="24.95" customHeight="1">
      <c r="A181" s="10" t="s">
        <v>218</v>
      </c>
      <c r="B181" s="8">
        <v>0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18"/>
      <c r="N181" s="8"/>
      <c r="O181" s="8"/>
      <c r="P181" s="8"/>
      <c r="Q181" s="8"/>
      <c r="R181" s="8"/>
      <c r="S181" s="8"/>
      <c r="T181" s="8"/>
      <c r="U181" s="18"/>
      <c r="V181" s="18"/>
      <c r="W181" s="18"/>
      <c r="X181" s="18">
        <f>+Y182*2</f>
        <v>0</v>
      </c>
      <c r="Y181" s="18"/>
      <c r="Z181" s="8"/>
      <c r="AA181" s="18"/>
      <c r="AB181" s="18"/>
      <c r="AC181" s="8">
        <f t="shared" si="8"/>
        <v>0</v>
      </c>
      <c r="AD181" s="18"/>
      <c r="AE181" s="18"/>
      <c r="AF181" s="8"/>
      <c r="AG181" s="18"/>
      <c r="AH181" s="8"/>
      <c r="AI181" s="8"/>
      <c r="AJ181" s="8"/>
      <c r="AK181" s="8">
        <f t="shared" si="6"/>
        <v>0</v>
      </c>
      <c r="AL181" s="8">
        <f t="shared" si="7"/>
        <v>0</v>
      </c>
      <c r="AM181" s="9"/>
    </row>
    <row r="182" spans="1:39" ht="24.95" customHeight="1">
      <c r="A182" s="10" t="s">
        <v>219</v>
      </c>
      <c r="B182" s="8"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18"/>
      <c r="N182" s="8"/>
      <c r="O182" s="8"/>
      <c r="P182" s="8"/>
      <c r="Q182" s="8"/>
      <c r="R182" s="8"/>
      <c r="S182" s="8"/>
      <c r="T182" s="8"/>
      <c r="U182" s="18"/>
      <c r="V182" s="18"/>
      <c r="W182" s="18"/>
      <c r="X182" s="18"/>
      <c r="Y182" s="18"/>
      <c r="Z182" s="8"/>
      <c r="AA182" s="18"/>
      <c r="AB182" s="18"/>
      <c r="AC182" s="8">
        <f t="shared" si="8"/>
        <v>0</v>
      </c>
      <c r="AD182" s="18"/>
      <c r="AE182" s="18"/>
      <c r="AF182" s="8"/>
      <c r="AG182" s="18"/>
      <c r="AH182" s="8"/>
      <c r="AI182" s="8"/>
      <c r="AJ182" s="8"/>
      <c r="AK182" s="8">
        <f t="shared" si="6"/>
        <v>0</v>
      </c>
      <c r="AL182" s="8">
        <f t="shared" si="7"/>
        <v>0</v>
      </c>
      <c r="AM182" s="9"/>
    </row>
    <row r="183" spans="1:39" ht="24.95" customHeight="1">
      <c r="A183" s="10" t="s">
        <v>220</v>
      </c>
      <c r="B183" s="8">
        <v>1691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18"/>
      <c r="N183" s="8"/>
      <c r="O183" s="8"/>
      <c r="P183" s="8"/>
      <c r="Q183" s="8"/>
      <c r="R183" s="8"/>
      <c r="S183" s="8"/>
      <c r="T183" s="8"/>
      <c r="U183" s="18"/>
      <c r="V183" s="18"/>
      <c r="W183" s="18"/>
      <c r="X183" s="18"/>
      <c r="Y183" s="18"/>
      <c r="Z183" s="8"/>
      <c r="AA183" s="18">
        <f>+Z186*2</f>
        <v>0</v>
      </c>
      <c r="AB183" s="18"/>
      <c r="AC183" s="8">
        <f t="shared" si="8"/>
        <v>0</v>
      </c>
      <c r="AD183" s="18"/>
      <c r="AE183" s="18">
        <f>+AD185</f>
        <v>0</v>
      </c>
      <c r="AF183" s="8"/>
      <c r="AG183" s="18"/>
      <c r="AH183" s="8"/>
      <c r="AI183" s="8"/>
      <c r="AJ183" s="8">
        <v>2</v>
      </c>
      <c r="AK183" s="8">
        <f t="shared" si="6"/>
        <v>-2</v>
      </c>
      <c r="AL183" s="8">
        <f t="shared" si="7"/>
        <v>1689</v>
      </c>
      <c r="AM183" s="9"/>
    </row>
    <row r="184" spans="1:39" ht="24.95" customHeight="1">
      <c r="A184" s="10" t="s">
        <v>221</v>
      </c>
      <c r="B184" s="8"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18"/>
      <c r="N184" s="8"/>
      <c r="O184" s="8"/>
      <c r="P184" s="8"/>
      <c r="Q184" s="8"/>
      <c r="R184" s="8"/>
      <c r="S184" s="8"/>
      <c r="T184" s="8"/>
      <c r="U184" s="18"/>
      <c r="V184" s="18"/>
      <c r="W184" s="18"/>
      <c r="X184" s="18"/>
      <c r="Y184" s="18"/>
      <c r="Z184" s="8"/>
      <c r="AA184" s="18"/>
      <c r="AB184" s="18"/>
      <c r="AC184" s="8">
        <f t="shared" si="8"/>
        <v>0</v>
      </c>
      <c r="AD184" s="18"/>
      <c r="AE184" s="18"/>
      <c r="AF184" s="8"/>
      <c r="AG184" s="18"/>
      <c r="AH184" s="8"/>
      <c r="AI184" s="8"/>
      <c r="AJ184" s="8"/>
      <c r="AK184" s="8">
        <f t="shared" si="6"/>
        <v>0</v>
      </c>
      <c r="AL184" s="8">
        <f t="shared" si="7"/>
        <v>0</v>
      </c>
      <c r="AM184" s="9"/>
    </row>
    <row r="185" spans="1:39" ht="24.95" customHeight="1">
      <c r="A185" s="10" t="s">
        <v>222</v>
      </c>
      <c r="B185" s="8">
        <v>3146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18"/>
      <c r="N185" s="8"/>
      <c r="O185" s="8"/>
      <c r="P185" s="8"/>
      <c r="Q185" s="8"/>
      <c r="R185" s="8">
        <v>4</v>
      </c>
      <c r="S185" s="8"/>
      <c r="T185" s="8"/>
      <c r="U185" s="18"/>
      <c r="V185" s="18"/>
      <c r="W185" s="18"/>
      <c r="X185" s="18"/>
      <c r="Y185" s="18"/>
      <c r="Z185" s="8"/>
      <c r="AA185" s="18"/>
      <c r="AB185" s="18"/>
      <c r="AC185" s="8">
        <f t="shared" si="8"/>
        <v>0</v>
      </c>
      <c r="AD185" s="18"/>
      <c r="AE185" s="18"/>
      <c r="AF185" s="8"/>
      <c r="AG185" s="18"/>
      <c r="AH185" s="8"/>
      <c r="AI185" s="8"/>
      <c r="AJ185" s="8">
        <v>2</v>
      </c>
      <c r="AK185" s="8">
        <f t="shared" si="6"/>
        <v>-6</v>
      </c>
      <c r="AL185" s="8">
        <f t="shared" si="7"/>
        <v>3140</v>
      </c>
      <c r="AM185" s="9"/>
    </row>
    <row r="186" spans="1:39" ht="24.95" customHeight="1">
      <c r="A186" s="10" t="s">
        <v>223</v>
      </c>
      <c r="B186" s="8"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18"/>
      <c r="N186" s="8"/>
      <c r="O186" s="8"/>
      <c r="P186" s="8"/>
      <c r="Q186" s="8"/>
      <c r="R186" s="8"/>
      <c r="S186" s="8"/>
      <c r="T186" s="8"/>
      <c r="U186" s="18"/>
      <c r="V186" s="18"/>
      <c r="W186" s="18"/>
      <c r="X186" s="18"/>
      <c r="Y186" s="18"/>
      <c r="Z186" s="8"/>
      <c r="AA186" s="18"/>
      <c r="AB186" s="18"/>
      <c r="AC186" s="8">
        <f t="shared" si="8"/>
        <v>0</v>
      </c>
      <c r="AD186" s="18"/>
      <c r="AE186" s="18"/>
      <c r="AF186" s="8"/>
      <c r="AG186" s="18"/>
      <c r="AH186" s="8"/>
      <c r="AI186" s="8"/>
      <c r="AJ186" s="8"/>
      <c r="AK186" s="8">
        <f t="shared" si="6"/>
        <v>0</v>
      </c>
      <c r="AL186" s="8">
        <f t="shared" si="7"/>
        <v>0</v>
      </c>
      <c r="AM186" s="9"/>
    </row>
    <row r="187" spans="1:39" ht="24.95" customHeight="1">
      <c r="A187" s="10" t="s">
        <v>224</v>
      </c>
      <c r="B187" s="8">
        <v>1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18"/>
      <c r="N187" s="8"/>
      <c r="O187" s="8"/>
      <c r="P187" s="8"/>
      <c r="Q187" s="8"/>
      <c r="R187" s="8"/>
      <c r="S187" s="8"/>
      <c r="T187" s="8"/>
      <c r="U187" s="18"/>
      <c r="V187" s="18"/>
      <c r="W187" s="18"/>
      <c r="X187" s="18">
        <f>Y188*2</f>
        <v>14</v>
      </c>
      <c r="Y187" s="18"/>
      <c r="Z187" s="8"/>
      <c r="AA187" s="18"/>
      <c r="AB187" s="18"/>
      <c r="AC187" s="8">
        <f t="shared" si="8"/>
        <v>0</v>
      </c>
      <c r="AD187" s="18"/>
      <c r="AE187" s="18">
        <f>+AD189</f>
        <v>15</v>
      </c>
      <c r="AF187" s="8"/>
      <c r="AG187" s="18"/>
      <c r="AH187" s="8"/>
      <c r="AI187" s="8"/>
      <c r="AJ187" s="8"/>
      <c r="AK187" s="8">
        <f t="shared" si="6"/>
        <v>-1</v>
      </c>
      <c r="AL187" s="8">
        <f t="shared" si="7"/>
        <v>0</v>
      </c>
      <c r="AM187" s="9"/>
    </row>
    <row r="188" spans="1:39" ht="24.95" customHeight="1">
      <c r="A188" s="10" t="s">
        <v>225</v>
      </c>
      <c r="B188" s="8">
        <v>73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18"/>
      <c r="N188" s="8"/>
      <c r="O188" s="8"/>
      <c r="P188" s="8"/>
      <c r="Q188" s="8"/>
      <c r="R188" s="8"/>
      <c r="S188" s="8"/>
      <c r="T188" s="8"/>
      <c r="U188" s="18"/>
      <c r="V188" s="18"/>
      <c r="W188" s="18"/>
      <c r="X188" s="18"/>
      <c r="Y188" s="18">
        <v>7</v>
      </c>
      <c r="Z188" s="8"/>
      <c r="AA188" s="18"/>
      <c r="AB188" s="18"/>
      <c r="AC188" s="8">
        <f t="shared" si="8"/>
        <v>0</v>
      </c>
      <c r="AD188" s="18"/>
      <c r="AE188" s="18">
        <f>+AD190</f>
        <v>0</v>
      </c>
      <c r="AF188" s="8"/>
      <c r="AG188" s="18"/>
      <c r="AH188" s="8"/>
      <c r="AI188" s="8"/>
      <c r="AJ188" s="8"/>
      <c r="AK188" s="8">
        <f t="shared" si="6"/>
        <v>-7</v>
      </c>
      <c r="AL188" s="8">
        <f t="shared" si="7"/>
        <v>66</v>
      </c>
      <c r="AM188" s="9"/>
    </row>
    <row r="189" spans="1:39" ht="24.95" customHeight="1">
      <c r="A189" s="10" t="s">
        <v>226</v>
      </c>
      <c r="B189" s="8"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18"/>
      <c r="N189" s="8"/>
      <c r="O189" s="8"/>
      <c r="P189" s="8"/>
      <c r="Q189" s="8"/>
      <c r="R189" s="8"/>
      <c r="S189" s="8"/>
      <c r="T189" s="8"/>
      <c r="U189" s="18"/>
      <c r="V189" s="18"/>
      <c r="W189" s="18"/>
      <c r="X189" s="18"/>
      <c r="Y189" s="18"/>
      <c r="Z189" s="8"/>
      <c r="AA189" s="18">
        <f>+Z190*2</f>
        <v>0</v>
      </c>
      <c r="AB189" s="18"/>
      <c r="AC189" s="8">
        <f t="shared" si="8"/>
        <v>0</v>
      </c>
      <c r="AD189" s="18">
        <v>15</v>
      </c>
      <c r="AE189" s="18">
        <f>+AD187</f>
        <v>0</v>
      </c>
      <c r="AF189" s="8"/>
      <c r="AG189" s="18"/>
      <c r="AH189" s="8"/>
      <c r="AI189" s="8"/>
      <c r="AJ189" s="8">
        <v>15</v>
      </c>
      <c r="AK189" s="8">
        <f t="shared" si="6"/>
        <v>0</v>
      </c>
      <c r="AL189" s="8">
        <f t="shared" si="7"/>
        <v>0</v>
      </c>
      <c r="AM189" s="9"/>
    </row>
    <row r="190" spans="1:39" ht="24.95" customHeight="1">
      <c r="A190" s="10" t="s">
        <v>227</v>
      </c>
      <c r="B190" s="8"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18"/>
      <c r="N190" s="8"/>
      <c r="O190" s="8"/>
      <c r="P190" s="8"/>
      <c r="Q190" s="8"/>
      <c r="R190" s="8"/>
      <c r="S190" s="8"/>
      <c r="T190" s="8"/>
      <c r="U190" s="18"/>
      <c r="V190" s="18"/>
      <c r="W190" s="18"/>
      <c r="X190" s="18"/>
      <c r="Y190" s="18"/>
      <c r="Z190" s="8"/>
      <c r="AA190" s="18"/>
      <c r="AB190" s="18"/>
      <c r="AC190" s="8">
        <f t="shared" si="8"/>
        <v>0</v>
      </c>
      <c r="AD190" s="18"/>
      <c r="AE190" s="18"/>
      <c r="AF190" s="8"/>
      <c r="AG190" s="18"/>
      <c r="AH190" s="8"/>
      <c r="AI190" s="8"/>
      <c r="AJ190" s="8"/>
      <c r="AK190" s="8">
        <f t="shared" si="6"/>
        <v>0</v>
      </c>
      <c r="AL190" s="8">
        <f t="shared" si="7"/>
        <v>0</v>
      </c>
      <c r="AM190" s="9"/>
    </row>
    <row r="191" spans="1:39" ht="24.95" customHeight="1">
      <c r="A191" s="10" t="s">
        <v>228</v>
      </c>
      <c r="B191" s="8"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18"/>
      <c r="N191" s="8"/>
      <c r="O191" s="8"/>
      <c r="P191" s="8"/>
      <c r="Q191" s="8"/>
      <c r="R191" s="8"/>
      <c r="S191" s="8"/>
      <c r="T191" s="8"/>
      <c r="U191" s="18"/>
      <c r="V191" s="18"/>
      <c r="W191" s="18"/>
      <c r="X191" s="18"/>
      <c r="Y191" s="18"/>
      <c r="Z191" s="8"/>
      <c r="AA191" s="18"/>
      <c r="AB191" s="18"/>
      <c r="AC191" s="8">
        <f t="shared" si="8"/>
        <v>0</v>
      </c>
      <c r="AD191" s="18"/>
      <c r="AE191" s="18">
        <f>+AD193</f>
        <v>0</v>
      </c>
      <c r="AF191" s="8"/>
      <c r="AG191" s="18"/>
      <c r="AH191" s="8"/>
      <c r="AI191" s="8"/>
      <c r="AJ191" s="8"/>
      <c r="AK191" s="8">
        <f t="shared" si="6"/>
        <v>0</v>
      </c>
      <c r="AL191" s="8">
        <f t="shared" si="7"/>
        <v>0</v>
      </c>
      <c r="AM191" s="9"/>
    </row>
    <row r="192" spans="1:39" ht="24.95" customHeight="1">
      <c r="A192" s="10" t="s">
        <v>229</v>
      </c>
      <c r="B192" s="8"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18"/>
      <c r="N192" s="8"/>
      <c r="O192" s="8"/>
      <c r="P192" s="8"/>
      <c r="Q192" s="8"/>
      <c r="R192" s="8"/>
      <c r="S192" s="8"/>
      <c r="T192" s="8"/>
      <c r="U192" s="18"/>
      <c r="V192" s="18"/>
      <c r="W192" s="18"/>
      <c r="X192" s="18"/>
      <c r="Y192" s="18"/>
      <c r="Z192" s="8"/>
      <c r="AA192" s="18"/>
      <c r="AB192" s="18"/>
      <c r="AC192" s="8">
        <f t="shared" si="8"/>
        <v>0</v>
      </c>
      <c r="AD192" s="18"/>
      <c r="AE192" s="18"/>
      <c r="AF192" s="8"/>
      <c r="AG192" s="18"/>
      <c r="AH192" s="8"/>
      <c r="AI192" s="8"/>
      <c r="AJ192" s="8"/>
      <c r="AK192" s="8">
        <f t="shared" si="6"/>
        <v>0</v>
      </c>
      <c r="AL192" s="8">
        <f t="shared" si="7"/>
        <v>0</v>
      </c>
      <c r="AM192" s="9"/>
    </row>
    <row r="193" spans="1:39" ht="24.95" customHeight="1">
      <c r="A193" s="10" t="s">
        <v>230</v>
      </c>
      <c r="B193" s="8">
        <v>1864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18"/>
      <c r="N193" s="8"/>
      <c r="O193" s="8"/>
      <c r="P193" s="8"/>
      <c r="Q193" s="8"/>
      <c r="R193" s="8"/>
      <c r="S193" s="8"/>
      <c r="T193" s="8"/>
      <c r="U193" s="18"/>
      <c r="V193" s="18"/>
      <c r="W193" s="18"/>
      <c r="X193" s="18"/>
      <c r="Y193" s="18"/>
      <c r="Z193" s="8"/>
      <c r="AA193" s="18">
        <f>+Z194*2</f>
        <v>0</v>
      </c>
      <c r="AB193" s="18"/>
      <c r="AC193" s="8">
        <f t="shared" si="8"/>
        <v>0</v>
      </c>
      <c r="AD193" s="18"/>
      <c r="AE193" s="18">
        <f>+AD191</f>
        <v>0</v>
      </c>
      <c r="AF193" s="8"/>
      <c r="AG193" s="18"/>
      <c r="AH193" s="8"/>
      <c r="AI193" s="8"/>
      <c r="AJ193" s="8">
        <v>3</v>
      </c>
      <c r="AK193" s="8">
        <f t="shared" si="6"/>
        <v>-3</v>
      </c>
      <c r="AL193" s="8">
        <f t="shared" si="7"/>
        <v>1861</v>
      </c>
      <c r="AM193" s="9"/>
    </row>
    <row r="194" spans="1:39" ht="24.95" customHeight="1">
      <c r="A194" s="10" t="s">
        <v>231</v>
      </c>
      <c r="B194" s="8"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18"/>
      <c r="N194" s="8"/>
      <c r="O194" s="8"/>
      <c r="P194" s="8"/>
      <c r="Q194" s="8"/>
      <c r="R194" s="8"/>
      <c r="S194" s="8"/>
      <c r="T194" s="8"/>
      <c r="U194" s="18"/>
      <c r="V194" s="18"/>
      <c r="W194" s="18"/>
      <c r="X194" s="18"/>
      <c r="Y194" s="18"/>
      <c r="Z194" s="8"/>
      <c r="AA194" s="18"/>
      <c r="AB194" s="18"/>
      <c r="AC194" s="8">
        <f t="shared" si="8"/>
        <v>0</v>
      </c>
      <c r="AD194" s="18"/>
      <c r="AE194" s="18"/>
      <c r="AF194" s="8"/>
      <c r="AG194" s="18"/>
      <c r="AH194" s="8"/>
      <c r="AI194" s="8"/>
      <c r="AJ194" s="8"/>
      <c r="AK194" s="8">
        <f t="shared" ref="AK194:AK257" si="9">SUM((D194+P194+G194+L194+S194+X194+Z194+AD194+M194+J194+V194+AB194+F194+AG194+O194+AI194)+(-N194-E194-R194-Q194-T194-Y194-AA194-AE194-AJ194-K194-I194-H194-U194-AC194-AF194-AH194-W194))</f>
        <v>0</v>
      </c>
      <c r="AL194" s="8">
        <f t="shared" ref="AL194:AL257" si="10">B194+AK194</f>
        <v>0</v>
      </c>
      <c r="AM194" s="9"/>
    </row>
    <row r="195" spans="1:39" ht="24.95" customHeight="1">
      <c r="A195" s="10" t="s">
        <v>232</v>
      </c>
      <c r="B195" s="8">
        <v>1794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18"/>
      <c r="N195" s="8"/>
      <c r="O195" s="8"/>
      <c r="P195" s="8"/>
      <c r="Q195" s="8"/>
      <c r="R195" s="8"/>
      <c r="S195" s="8"/>
      <c r="T195" s="8"/>
      <c r="U195" s="18"/>
      <c r="V195" s="18"/>
      <c r="W195" s="18"/>
      <c r="X195" s="18"/>
      <c r="Y195" s="18"/>
      <c r="Z195" s="8"/>
      <c r="AA195" s="18">
        <f>+Z198*2</f>
        <v>0</v>
      </c>
      <c r="AB195" s="18"/>
      <c r="AC195" s="8">
        <f t="shared" si="8"/>
        <v>0</v>
      </c>
      <c r="AD195" s="18"/>
      <c r="AE195" s="18">
        <f>+AD197</f>
        <v>0</v>
      </c>
      <c r="AF195" s="8"/>
      <c r="AG195" s="18"/>
      <c r="AH195" s="8"/>
      <c r="AI195" s="8"/>
      <c r="AJ195" s="8">
        <v>4</v>
      </c>
      <c r="AK195" s="8">
        <f t="shared" si="9"/>
        <v>-4</v>
      </c>
      <c r="AL195" s="8">
        <f t="shared" si="10"/>
        <v>1790</v>
      </c>
      <c r="AM195" s="9"/>
    </row>
    <row r="196" spans="1:39" ht="24.95" customHeight="1">
      <c r="A196" s="10" t="s">
        <v>233</v>
      </c>
      <c r="B196" s="8"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18"/>
      <c r="N196" s="8"/>
      <c r="O196" s="8"/>
      <c r="P196" s="8"/>
      <c r="Q196" s="8"/>
      <c r="R196" s="8"/>
      <c r="S196" s="8"/>
      <c r="T196" s="8"/>
      <c r="U196" s="18"/>
      <c r="V196" s="18"/>
      <c r="W196" s="18"/>
      <c r="X196" s="18"/>
      <c r="Y196" s="18"/>
      <c r="Z196" s="8"/>
      <c r="AA196" s="18"/>
      <c r="AB196" s="18"/>
      <c r="AC196" s="8">
        <f t="shared" si="8"/>
        <v>0</v>
      </c>
      <c r="AD196" s="18"/>
      <c r="AE196" s="18"/>
      <c r="AF196" s="8"/>
      <c r="AG196" s="18"/>
      <c r="AH196" s="8"/>
      <c r="AI196" s="8"/>
      <c r="AJ196" s="8"/>
      <c r="AK196" s="8">
        <f t="shared" si="9"/>
        <v>0</v>
      </c>
      <c r="AL196" s="8">
        <f t="shared" si="10"/>
        <v>0</v>
      </c>
      <c r="AM196" s="9"/>
    </row>
    <row r="197" spans="1:39" ht="24.95" customHeight="1">
      <c r="A197" s="10" t="s">
        <v>234</v>
      </c>
      <c r="B197" s="8"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18"/>
      <c r="N197" s="8"/>
      <c r="O197" s="8"/>
      <c r="P197" s="8"/>
      <c r="Q197" s="8"/>
      <c r="R197" s="8"/>
      <c r="S197" s="8"/>
      <c r="T197" s="8"/>
      <c r="U197" s="18"/>
      <c r="V197" s="18"/>
      <c r="W197" s="18"/>
      <c r="X197" s="18"/>
      <c r="Y197" s="18"/>
      <c r="Z197" s="8"/>
      <c r="AA197" s="18"/>
      <c r="AB197" s="18"/>
      <c r="AC197" s="8">
        <f t="shared" si="8"/>
        <v>0</v>
      </c>
      <c r="AD197" s="18"/>
      <c r="AE197" s="18"/>
      <c r="AF197" s="8"/>
      <c r="AG197" s="18"/>
      <c r="AH197" s="8"/>
      <c r="AI197" s="8"/>
      <c r="AJ197" s="8"/>
      <c r="AK197" s="8">
        <f t="shared" si="9"/>
        <v>0</v>
      </c>
      <c r="AL197" s="8">
        <f t="shared" si="10"/>
        <v>0</v>
      </c>
      <c r="AM197" s="9"/>
    </row>
    <row r="198" spans="1:39" ht="24.95" customHeight="1">
      <c r="A198" s="10" t="s">
        <v>235</v>
      </c>
      <c r="B198" s="8"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18"/>
      <c r="N198" s="8"/>
      <c r="O198" s="8"/>
      <c r="P198" s="8"/>
      <c r="Q198" s="8"/>
      <c r="R198" s="8"/>
      <c r="S198" s="8"/>
      <c r="T198" s="8"/>
      <c r="U198" s="18"/>
      <c r="V198" s="18"/>
      <c r="W198" s="18"/>
      <c r="X198" s="18"/>
      <c r="Y198" s="18"/>
      <c r="Z198" s="8"/>
      <c r="AA198" s="18"/>
      <c r="AB198" s="18"/>
      <c r="AC198" s="8">
        <f t="shared" ref="AC198:AC225" si="11">+AB198</f>
        <v>0</v>
      </c>
      <c r="AD198" s="18"/>
      <c r="AE198" s="18"/>
      <c r="AF198" s="8"/>
      <c r="AG198" s="18"/>
      <c r="AH198" s="8"/>
      <c r="AI198" s="8"/>
      <c r="AJ198" s="8"/>
      <c r="AK198" s="8">
        <f t="shared" si="9"/>
        <v>0</v>
      </c>
      <c r="AL198" s="8">
        <f t="shared" si="10"/>
        <v>0</v>
      </c>
      <c r="AM198" s="9"/>
    </row>
    <row r="199" spans="1:39" ht="24.95" customHeight="1">
      <c r="A199" s="10" t="s">
        <v>236</v>
      </c>
      <c r="B199" s="8">
        <v>7069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18"/>
      <c r="N199" s="8"/>
      <c r="O199" s="8"/>
      <c r="P199" s="8"/>
      <c r="Q199" s="8"/>
      <c r="R199" s="8"/>
      <c r="S199" s="8"/>
      <c r="T199" s="8"/>
      <c r="U199" s="18"/>
      <c r="V199" s="18"/>
      <c r="W199" s="18"/>
      <c r="X199" s="18">
        <f>+Y200*2</f>
        <v>0</v>
      </c>
      <c r="Y199" s="18"/>
      <c r="Z199" s="8"/>
      <c r="AA199" s="18">
        <f>+Z200*2</f>
        <v>0</v>
      </c>
      <c r="AB199" s="18"/>
      <c r="AC199" s="8">
        <f t="shared" si="11"/>
        <v>0</v>
      </c>
      <c r="AD199" s="18"/>
      <c r="AE199" s="18"/>
      <c r="AF199" s="8"/>
      <c r="AG199" s="18"/>
      <c r="AH199" s="8"/>
      <c r="AI199" s="8"/>
      <c r="AJ199" s="8">
        <v>8</v>
      </c>
      <c r="AK199" s="8">
        <f t="shared" si="9"/>
        <v>-8</v>
      </c>
      <c r="AL199" s="8">
        <f t="shared" si="10"/>
        <v>7061</v>
      </c>
      <c r="AM199" s="9"/>
    </row>
    <row r="200" spans="1:39" ht="24.95" customHeight="1">
      <c r="A200" s="10" t="s">
        <v>237</v>
      </c>
      <c r="B200" s="8"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18"/>
      <c r="N200" s="8"/>
      <c r="O200" s="8"/>
      <c r="P200" s="8"/>
      <c r="Q200" s="8"/>
      <c r="R200" s="8"/>
      <c r="S200" s="8"/>
      <c r="T200" s="8"/>
      <c r="U200" s="18"/>
      <c r="V200" s="18"/>
      <c r="W200" s="18"/>
      <c r="X200" s="18"/>
      <c r="Y200" s="18"/>
      <c r="Z200" s="8"/>
      <c r="AA200" s="18"/>
      <c r="AB200" s="18"/>
      <c r="AC200" s="8">
        <f t="shared" si="11"/>
        <v>0</v>
      </c>
      <c r="AD200" s="18"/>
      <c r="AE200" s="18"/>
      <c r="AF200" s="8"/>
      <c r="AG200" s="18"/>
      <c r="AH200" s="8"/>
      <c r="AI200" s="8"/>
      <c r="AJ200" s="8"/>
      <c r="AK200" s="8">
        <f t="shared" si="9"/>
        <v>0</v>
      </c>
      <c r="AL200" s="8">
        <f t="shared" si="10"/>
        <v>0</v>
      </c>
      <c r="AM200" s="9"/>
    </row>
    <row r="201" spans="1:39" ht="24.95" customHeight="1">
      <c r="A201" s="10" t="s">
        <v>238</v>
      </c>
      <c r="B201" s="8">
        <v>87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18"/>
      <c r="N201" s="8"/>
      <c r="O201" s="8"/>
      <c r="P201" s="8"/>
      <c r="Q201" s="8"/>
      <c r="R201" s="8"/>
      <c r="S201" s="8"/>
      <c r="T201" s="8"/>
      <c r="U201" s="18"/>
      <c r="V201" s="18"/>
      <c r="W201" s="18"/>
      <c r="X201" s="18"/>
      <c r="Y201" s="18"/>
      <c r="Z201" s="8"/>
      <c r="AA201" s="18"/>
      <c r="AB201" s="18"/>
      <c r="AC201" s="8">
        <f t="shared" si="11"/>
        <v>0</v>
      </c>
      <c r="AD201" s="18"/>
      <c r="AE201" s="18"/>
      <c r="AF201" s="8"/>
      <c r="AG201" s="18"/>
      <c r="AH201" s="8"/>
      <c r="AI201" s="8"/>
      <c r="AJ201" s="8"/>
      <c r="AK201" s="8">
        <f t="shared" si="9"/>
        <v>0</v>
      </c>
      <c r="AL201" s="8">
        <f t="shared" si="10"/>
        <v>87</v>
      </c>
      <c r="AM201" s="9"/>
    </row>
    <row r="202" spans="1:39" ht="24.95" customHeight="1">
      <c r="A202" s="10" t="s">
        <v>239</v>
      </c>
      <c r="B202" s="8">
        <v>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18"/>
      <c r="N202" s="8"/>
      <c r="O202" s="8"/>
      <c r="P202" s="8"/>
      <c r="Q202" s="8"/>
      <c r="R202" s="8"/>
      <c r="S202" s="8"/>
      <c r="T202" s="8"/>
      <c r="U202" s="18"/>
      <c r="V202" s="18"/>
      <c r="W202" s="18"/>
      <c r="X202" s="18"/>
      <c r="Y202" s="18"/>
      <c r="Z202" s="8"/>
      <c r="AA202" s="18"/>
      <c r="AB202" s="18"/>
      <c r="AC202" s="8">
        <f t="shared" si="11"/>
        <v>0</v>
      </c>
      <c r="AD202" s="18"/>
      <c r="AE202" s="18"/>
      <c r="AF202" s="8"/>
      <c r="AG202" s="18"/>
      <c r="AH202" s="8"/>
      <c r="AI202" s="8"/>
      <c r="AJ202" s="8"/>
      <c r="AK202" s="8">
        <f t="shared" si="9"/>
        <v>0</v>
      </c>
      <c r="AL202" s="8">
        <f t="shared" si="10"/>
        <v>0</v>
      </c>
      <c r="AM202" s="9"/>
    </row>
    <row r="203" spans="1:39" ht="24.95" customHeight="1">
      <c r="A203" s="10" t="s">
        <v>240</v>
      </c>
      <c r="B203" s="8">
        <v>790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18"/>
      <c r="N203" s="8"/>
      <c r="O203" s="8"/>
      <c r="P203" s="8"/>
      <c r="Q203" s="8"/>
      <c r="R203" s="8"/>
      <c r="S203" s="8"/>
      <c r="T203" s="8"/>
      <c r="U203" s="18"/>
      <c r="V203" s="18"/>
      <c r="W203" s="18"/>
      <c r="X203" s="18"/>
      <c r="Y203" s="18"/>
      <c r="Z203" s="8"/>
      <c r="AA203" s="18">
        <f>+Z202*2</f>
        <v>0</v>
      </c>
      <c r="AB203" s="18"/>
      <c r="AC203" s="8">
        <f t="shared" si="11"/>
        <v>0</v>
      </c>
      <c r="AD203" s="18"/>
      <c r="AE203" s="18">
        <f>+AD201</f>
        <v>0</v>
      </c>
      <c r="AF203" s="8"/>
      <c r="AG203" s="18"/>
      <c r="AH203" s="8"/>
      <c r="AI203" s="8"/>
      <c r="AJ203" s="8">
        <v>2</v>
      </c>
      <c r="AK203" s="8">
        <f t="shared" si="9"/>
        <v>-2</v>
      </c>
      <c r="AL203" s="8">
        <f t="shared" si="10"/>
        <v>788</v>
      </c>
      <c r="AM203" s="9"/>
    </row>
    <row r="204" spans="1:39" ht="24.95" customHeight="1">
      <c r="A204" s="10" t="s">
        <v>241</v>
      </c>
      <c r="B204" s="8">
        <v>0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18"/>
      <c r="N204" s="8"/>
      <c r="O204" s="8"/>
      <c r="P204" s="8"/>
      <c r="Q204" s="8"/>
      <c r="R204" s="8"/>
      <c r="S204" s="8"/>
      <c r="T204" s="8"/>
      <c r="U204" s="18"/>
      <c r="V204" s="18"/>
      <c r="W204" s="18"/>
      <c r="X204" s="18"/>
      <c r="Y204" s="18"/>
      <c r="Z204" s="8"/>
      <c r="AA204" s="18"/>
      <c r="AB204" s="18"/>
      <c r="AC204" s="8">
        <f t="shared" si="11"/>
        <v>0</v>
      </c>
      <c r="AD204" s="18"/>
      <c r="AE204" s="18"/>
      <c r="AF204" s="8"/>
      <c r="AG204" s="18"/>
      <c r="AH204" s="8"/>
      <c r="AI204" s="8"/>
      <c r="AJ204" s="8"/>
      <c r="AK204" s="8">
        <f t="shared" si="9"/>
        <v>0</v>
      </c>
      <c r="AL204" s="8">
        <f t="shared" si="10"/>
        <v>0</v>
      </c>
      <c r="AM204" s="9"/>
    </row>
    <row r="205" spans="1:39" ht="24.95" customHeight="1">
      <c r="A205" s="10" t="s">
        <v>242</v>
      </c>
      <c r="B205" s="8">
        <v>1126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18"/>
      <c r="N205" s="8"/>
      <c r="O205" s="8"/>
      <c r="P205" s="8"/>
      <c r="Q205" s="8"/>
      <c r="R205" s="8"/>
      <c r="S205" s="8"/>
      <c r="T205" s="8"/>
      <c r="U205" s="18"/>
      <c r="V205" s="18"/>
      <c r="W205" s="18"/>
      <c r="X205" s="18"/>
      <c r="Y205" s="18"/>
      <c r="Z205" s="8"/>
      <c r="AA205" s="18">
        <f>+Z208*2</f>
        <v>0</v>
      </c>
      <c r="AB205" s="18"/>
      <c r="AC205" s="8">
        <f t="shared" si="11"/>
        <v>0</v>
      </c>
      <c r="AD205" s="18"/>
      <c r="AE205" s="18">
        <f>+AD207</f>
        <v>0</v>
      </c>
      <c r="AF205" s="8"/>
      <c r="AG205" s="18"/>
      <c r="AH205" s="8"/>
      <c r="AI205" s="8"/>
      <c r="AJ205" s="8">
        <v>10</v>
      </c>
      <c r="AK205" s="8">
        <f t="shared" si="9"/>
        <v>-10</v>
      </c>
      <c r="AL205" s="8">
        <f t="shared" si="10"/>
        <v>1116</v>
      </c>
      <c r="AM205" s="9"/>
    </row>
    <row r="206" spans="1:39" ht="24.95" customHeight="1">
      <c r="A206" s="10" t="s">
        <v>243</v>
      </c>
      <c r="B206" s="8">
        <v>0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18"/>
      <c r="N206" s="8"/>
      <c r="O206" s="8"/>
      <c r="P206" s="8"/>
      <c r="Q206" s="8"/>
      <c r="R206" s="8"/>
      <c r="S206" s="8"/>
      <c r="T206" s="8"/>
      <c r="U206" s="18"/>
      <c r="V206" s="18"/>
      <c r="W206" s="18"/>
      <c r="X206" s="18"/>
      <c r="Y206" s="18"/>
      <c r="Z206" s="8"/>
      <c r="AA206" s="18"/>
      <c r="AB206" s="18"/>
      <c r="AC206" s="8">
        <f t="shared" si="11"/>
        <v>0</v>
      </c>
      <c r="AD206" s="18"/>
      <c r="AE206" s="18"/>
      <c r="AF206" s="8"/>
      <c r="AG206" s="18"/>
      <c r="AH206" s="8"/>
      <c r="AI206" s="8"/>
      <c r="AJ206" s="8"/>
      <c r="AK206" s="8">
        <f t="shared" si="9"/>
        <v>0</v>
      </c>
      <c r="AL206" s="8">
        <f t="shared" si="10"/>
        <v>0</v>
      </c>
      <c r="AM206" s="9"/>
    </row>
    <row r="207" spans="1:39" ht="24.95" customHeight="1">
      <c r="A207" s="10" t="s">
        <v>244</v>
      </c>
      <c r="B207" s="8">
        <v>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18"/>
      <c r="N207" s="8"/>
      <c r="O207" s="8"/>
      <c r="P207" s="8"/>
      <c r="Q207" s="8"/>
      <c r="R207" s="8"/>
      <c r="S207" s="8"/>
      <c r="T207" s="8"/>
      <c r="U207" s="18"/>
      <c r="V207" s="18"/>
      <c r="W207" s="18"/>
      <c r="X207" s="18"/>
      <c r="Y207" s="18"/>
      <c r="Z207" s="8"/>
      <c r="AA207" s="18"/>
      <c r="AB207" s="18"/>
      <c r="AC207" s="8">
        <f t="shared" si="11"/>
        <v>0</v>
      </c>
      <c r="AD207" s="18"/>
      <c r="AE207" s="18"/>
      <c r="AF207" s="8"/>
      <c r="AG207" s="18"/>
      <c r="AH207" s="8"/>
      <c r="AI207" s="8"/>
      <c r="AJ207" s="8"/>
      <c r="AK207" s="8">
        <f t="shared" si="9"/>
        <v>0</v>
      </c>
      <c r="AL207" s="8">
        <f t="shared" si="10"/>
        <v>0</v>
      </c>
      <c r="AM207" s="9"/>
    </row>
    <row r="208" spans="1:39" ht="24.95" customHeight="1">
      <c r="A208" s="10" t="s">
        <v>245</v>
      </c>
      <c r="B208" s="8">
        <v>0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18"/>
      <c r="N208" s="8"/>
      <c r="O208" s="8"/>
      <c r="P208" s="8"/>
      <c r="Q208" s="8"/>
      <c r="R208" s="8"/>
      <c r="S208" s="8"/>
      <c r="T208" s="8"/>
      <c r="U208" s="18"/>
      <c r="V208" s="18"/>
      <c r="W208" s="18"/>
      <c r="X208" s="18"/>
      <c r="Y208" s="18"/>
      <c r="Z208" s="8"/>
      <c r="AA208" s="18"/>
      <c r="AB208" s="18"/>
      <c r="AC208" s="8">
        <f t="shared" si="11"/>
        <v>0</v>
      </c>
      <c r="AD208" s="18"/>
      <c r="AE208" s="18"/>
      <c r="AF208" s="8"/>
      <c r="AG208" s="18"/>
      <c r="AH208" s="8"/>
      <c r="AI208" s="8"/>
      <c r="AJ208" s="8"/>
      <c r="AK208" s="8">
        <f t="shared" si="9"/>
        <v>0</v>
      </c>
      <c r="AL208" s="8">
        <f t="shared" si="10"/>
        <v>0</v>
      </c>
      <c r="AM208" s="9"/>
    </row>
    <row r="209" spans="1:39" ht="24.95" customHeight="1">
      <c r="A209" s="10" t="s">
        <v>246</v>
      </c>
      <c r="B209" s="8">
        <v>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18"/>
      <c r="N209" s="8"/>
      <c r="O209" s="8"/>
      <c r="P209" s="8"/>
      <c r="Q209" s="8"/>
      <c r="R209" s="8"/>
      <c r="S209" s="8"/>
      <c r="T209" s="8"/>
      <c r="U209" s="18"/>
      <c r="V209" s="18"/>
      <c r="W209" s="18"/>
      <c r="X209" s="18"/>
      <c r="Y209" s="18"/>
      <c r="Z209" s="8"/>
      <c r="AA209" s="18"/>
      <c r="AB209" s="18"/>
      <c r="AC209" s="8">
        <f t="shared" si="11"/>
        <v>0</v>
      </c>
      <c r="AD209" s="18"/>
      <c r="AE209" s="18"/>
      <c r="AF209" s="8"/>
      <c r="AG209" s="18"/>
      <c r="AH209" s="8"/>
      <c r="AI209" s="8"/>
      <c r="AJ209" s="8"/>
      <c r="AK209" s="8">
        <f t="shared" si="9"/>
        <v>0</v>
      </c>
      <c r="AL209" s="8">
        <f t="shared" si="10"/>
        <v>0</v>
      </c>
      <c r="AM209" s="9"/>
    </row>
    <row r="210" spans="1:39" ht="24.95" customHeight="1">
      <c r="A210" s="10" t="s">
        <v>247</v>
      </c>
      <c r="B210" s="8">
        <v>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18"/>
      <c r="N210" s="8"/>
      <c r="O210" s="8"/>
      <c r="P210" s="8"/>
      <c r="Q210" s="8"/>
      <c r="R210" s="8"/>
      <c r="S210" s="8"/>
      <c r="T210" s="8"/>
      <c r="U210" s="18"/>
      <c r="V210" s="18"/>
      <c r="W210" s="18"/>
      <c r="X210" s="18"/>
      <c r="Y210" s="18"/>
      <c r="Z210" s="8"/>
      <c r="AA210" s="18"/>
      <c r="AB210" s="18"/>
      <c r="AC210" s="8">
        <f t="shared" si="11"/>
        <v>0</v>
      </c>
      <c r="AD210" s="18"/>
      <c r="AE210" s="18"/>
      <c r="AF210" s="8"/>
      <c r="AG210" s="18"/>
      <c r="AH210" s="8"/>
      <c r="AI210" s="8"/>
      <c r="AJ210" s="8"/>
      <c r="AK210" s="8">
        <f t="shared" si="9"/>
        <v>0</v>
      </c>
      <c r="AL210" s="8">
        <f t="shared" si="10"/>
        <v>0</v>
      </c>
      <c r="AM210" s="9"/>
    </row>
    <row r="211" spans="1:39" ht="24.95" customHeight="1">
      <c r="A211" s="10" t="s">
        <v>248</v>
      </c>
      <c r="B211" s="8">
        <v>80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18"/>
      <c r="N211" s="8"/>
      <c r="O211" s="8"/>
      <c r="P211" s="8"/>
      <c r="Q211" s="8"/>
      <c r="R211" s="8"/>
      <c r="S211" s="8"/>
      <c r="T211" s="8"/>
      <c r="U211" s="18"/>
      <c r="V211" s="18"/>
      <c r="W211" s="18"/>
      <c r="X211" s="18"/>
      <c r="Y211" s="18"/>
      <c r="Z211" s="8"/>
      <c r="AA211" s="18">
        <f>+Z212*2</f>
        <v>0</v>
      </c>
      <c r="AB211" s="18"/>
      <c r="AC211" s="8">
        <f t="shared" si="11"/>
        <v>0</v>
      </c>
      <c r="AD211" s="18"/>
      <c r="AE211" s="18"/>
      <c r="AF211" s="8"/>
      <c r="AG211" s="18"/>
      <c r="AH211" s="8"/>
      <c r="AI211" s="8"/>
      <c r="AJ211" s="8">
        <v>2</v>
      </c>
      <c r="AK211" s="8">
        <f t="shared" si="9"/>
        <v>-2</v>
      </c>
      <c r="AL211" s="8">
        <f t="shared" si="10"/>
        <v>78</v>
      </c>
      <c r="AM211" s="9"/>
    </row>
    <row r="212" spans="1:39" ht="24.95" customHeight="1">
      <c r="A212" s="10" t="s">
        <v>249</v>
      </c>
      <c r="B212" s="8"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18"/>
      <c r="N212" s="8"/>
      <c r="O212" s="8"/>
      <c r="P212" s="8"/>
      <c r="Q212" s="8"/>
      <c r="R212" s="8"/>
      <c r="S212" s="8"/>
      <c r="T212" s="8"/>
      <c r="U212" s="18"/>
      <c r="V212" s="18"/>
      <c r="W212" s="18"/>
      <c r="X212" s="18"/>
      <c r="Y212" s="18"/>
      <c r="Z212" s="8"/>
      <c r="AA212" s="18"/>
      <c r="AB212" s="18"/>
      <c r="AC212" s="8">
        <f t="shared" si="11"/>
        <v>0</v>
      </c>
      <c r="AD212" s="18"/>
      <c r="AE212" s="18"/>
      <c r="AF212" s="8"/>
      <c r="AG212" s="18"/>
      <c r="AH212" s="8"/>
      <c r="AI212" s="8"/>
      <c r="AJ212" s="8"/>
      <c r="AK212" s="8">
        <f t="shared" si="9"/>
        <v>0</v>
      </c>
      <c r="AL212" s="8">
        <f t="shared" si="10"/>
        <v>0</v>
      </c>
      <c r="AM212" s="9"/>
    </row>
    <row r="213" spans="1:39" ht="24.95" customHeight="1">
      <c r="A213" s="10" t="s">
        <v>250</v>
      </c>
      <c r="B213" s="8"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18"/>
      <c r="N213" s="8"/>
      <c r="O213" s="8"/>
      <c r="P213" s="8"/>
      <c r="Q213" s="8"/>
      <c r="R213" s="8"/>
      <c r="S213" s="8"/>
      <c r="T213" s="8"/>
      <c r="U213" s="18"/>
      <c r="V213" s="18"/>
      <c r="W213" s="18"/>
      <c r="X213" s="18"/>
      <c r="Y213" s="18"/>
      <c r="Z213" s="8"/>
      <c r="AA213" s="18"/>
      <c r="AB213" s="18"/>
      <c r="AC213" s="8">
        <f t="shared" si="11"/>
        <v>0</v>
      </c>
      <c r="AD213" s="18"/>
      <c r="AE213" s="18"/>
      <c r="AF213" s="8"/>
      <c r="AG213" s="18"/>
      <c r="AH213" s="8"/>
      <c r="AI213" s="8"/>
      <c r="AJ213" s="8"/>
      <c r="AK213" s="8">
        <f t="shared" si="9"/>
        <v>0</v>
      </c>
      <c r="AL213" s="8">
        <f t="shared" si="10"/>
        <v>0</v>
      </c>
      <c r="AM213" s="9"/>
    </row>
    <row r="214" spans="1:39" ht="24.95" customHeight="1">
      <c r="A214" s="10" t="s">
        <v>251</v>
      </c>
      <c r="B214" s="8">
        <v>0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18"/>
      <c r="N214" s="8"/>
      <c r="O214" s="8"/>
      <c r="P214" s="8"/>
      <c r="Q214" s="8"/>
      <c r="R214" s="8"/>
      <c r="S214" s="8"/>
      <c r="T214" s="8"/>
      <c r="U214" s="18"/>
      <c r="V214" s="18"/>
      <c r="W214" s="18"/>
      <c r="X214" s="18"/>
      <c r="Y214" s="18"/>
      <c r="Z214" s="8"/>
      <c r="AA214" s="18"/>
      <c r="AB214" s="18"/>
      <c r="AC214" s="8">
        <f t="shared" si="11"/>
        <v>0</v>
      </c>
      <c r="AD214" s="18"/>
      <c r="AE214" s="18"/>
      <c r="AF214" s="8"/>
      <c r="AG214" s="18"/>
      <c r="AH214" s="8"/>
      <c r="AI214" s="8"/>
      <c r="AJ214" s="8"/>
      <c r="AK214" s="8">
        <f t="shared" si="9"/>
        <v>0</v>
      </c>
      <c r="AL214" s="8">
        <f t="shared" si="10"/>
        <v>0</v>
      </c>
      <c r="AM214" s="9"/>
    </row>
    <row r="215" spans="1:39" ht="24.95" customHeight="1">
      <c r="A215" s="10" t="s">
        <v>252</v>
      </c>
      <c r="B215" s="8">
        <v>1029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18"/>
      <c r="N215" s="8"/>
      <c r="O215" s="8"/>
      <c r="P215" s="8"/>
      <c r="Q215" s="8"/>
      <c r="R215" s="8"/>
      <c r="S215" s="8"/>
      <c r="T215" s="8"/>
      <c r="U215" s="18"/>
      <c r="V215" s="18"/>
      <c r="W215" s="18"/>
      <c r="X215" s="18"/>
      <c r="Y215" s="18"/>
      <c r="Z215" s="8"/>
      <c r="AA215" s="18">
        <f>+Z217</f>
        <v>210</v>
      </c>
      <c r="AB215" s="18"/>
      <c r="AC215" s="8">
        <f t="shared" si="11"/>
        <v>0</v>
      </c>
      <c r="AD215" s="18"/>
      <c r="AE215" s="18"/>
      <c r="AF215" s="8"/>
      <c r="AG215" s="18"/>
      <c r="AH215" s="8"/>
      <c r="AI215" s="8"/>
      <c r="AJ215" s="8">
        <v>2</v>
      </c>
      <c r="AK215" s="8">
        <f t="shared" si="9"/>
        <v>-212</v>
      </c>
      <c r="AL215" s="8">
        <f t="shared" si="10"/>
        <v>817</v>
      </c>
      <c r="AM215" s="9"/>
    </row>
    <row r="216" spans="1:39" ht="24.95" customHeight="1">
      <c r="A216" s="10" t="s">
        <v>253</v>
      </c>
      <c r="B216" s="8">
        <v>1613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18"/>
      <c r="N216" s="8"/>
      <c r="O216" s="8"/>
      <c r="P216" s="8"/>
      <c r="Q216" s="8"/>
      <c r="R216" s="8"/>
      <c r="S216" s="8"/>
      <c r="T216" s="8"/>
      <c r="U216" s="18"/>
      <c r="V216" s="18"/>
      <c r="W216" s="18"/>
      <c r="X216" s="18"/>
      <c r="Y216" s="18"/>
      <c r="Z216" s="8"/>
      <c r="AA216" s="18">
        <f>+Z217</f>
        <v>210</v>
      </c>
      <c r="AB216" s="18"/>
      <c r="AC216" s="8">
        <f t="shared" si="11"/>
        <v>0</v>
      </c>
      <c r="AD216" s="18"/>
      <c r="AE216" s="18"/>
      <c r="AF216" s="8"/>
      <c r="AG216" s="18"/>
      <c r="AH216" s="8"/>
      <c r="AI216" s="8"/>
      <c r="AJ216" s="8">
        <v>4</v>
      </c>
      <c r="AK216" s="8">
        <f t="shared" si="9"/>
        <v>-214</v>
      </c>
      <c r="AL216" s="8">
        <f t="shared" si="10"/>
        <v>1399</v>
      </c>
      <c r="AM216" s="9"/>
    </row>
    <row r="217" spans="1:39" ht="24.95" customHeight="1">
      <c r="A217" s="10" t="s">
        <v>254</v>
      </c>
      <c r="B217" s="8">
        <v>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18"/>
      <c r="N217" s="8"/>
      <c r="O217" s="8"/>
      <c r="P217" s="8"/>
      <c r="Q217" s="8"/>
      <c r="R217" s="8">
        <v>210</v>
      </c>
      <c r="S217" s="8"/>
      <c r="T217" s="8"/>
      <c r="U217" s="18"/>
      <c r="V217" s="18"/>
      <c r="W217" s="18"/>
      <c r="X217" s="18"/>
      <c r="Y217" s="18"/>
      <c r="Z217" s="8">
        <v>210</v>
      </c>
      <c r="AA217" s="18"/>
      <c r="AB217" s="18"/>
      <c r="AC217" s="8">
        <f t="shared" si="11"/>
        <v>0</v>
      </c>
      <c r="AD217" s="18"/>
      <c r="AE217" s="18"/>
      <c r="AF217" s="8"/>
      <c r="AG217" s="18"/>
      <c r="AH217" s="8"/>
      <c r="AI217" s="8"/>
      <c r="AJ217" s="8"/>
      <c r="AK217" s="8">
        <f t="shared" si="9"/>
        <v>0</v>
      </c>
      <c r="AL217" s="8">
        <f t="shared" si="10"/>
        <v>0</v>
      </c>
      <c r="AM217" s="9"/>
    </row>
    <row r="218" spans="1:39" ht="24.95" customHeight="1">
      <c r="A218" s="10" t="s">
        <v>255</v>
      </c>
      <c r="B218" s="8">
        <v>0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18"/>
      <c r="N218" s="8"/>
      <c r="O218" s="8"/>
      <c r="P218" s="8"/>
      <c r="Q218" s="8"/>
      <c r="R218" s="8"/>
      <c r="S218" s="8"/>
      <c r="T218" s="8"/>
      <c r="U218" s="18"/>
      <c r="V218" s="18"/>
      <c r="W218" s="18"/>
      <c r="X218" s="18"/>
      <c r="Y218" s="18"/>
      <c r="Z218" s="8"/>
      <c r="AA218" s="18"/>
      <c r="AB218" s="18"/>
      <c r="AC218" s="8">
        <f t="shared" si="11"/>
        <v>0</v>
      </c>
      <c r="AD218" s="18"/>
      <c r="AE218" s="18"/>
      <c r="AF218" s="8"/>
      <c r="AG218" s="18"/>
      <c r="AH218" s="8"/>
      <c r="AI218" s="8"/>
      <c r="AJ218" s="8"/>
      <c r="AK218" s="8">
        <f t="shared" si="9"/>
        <v>0</v>
      </c>
      <c r="AL218" s="8">
        <f t="shared" si="10"/>
        <v>0</v>
      </c>
      <c r="AM218" s="9"/>
    </row>
    <row r="219" spans="1:39" ht="24.95" customHeight="1">
      <c r="A219" s="10" t="s">
        <v>256</v>
      </c>
      <c r="B219" s="8">
        <v>0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18"/>
      <c r="N219" s="8"/>
      <c r="O219" s="8"/>
      <c r="P219" s="8"/>
      <c r="Q219" s="8"/>
      <c r="R219" s="8"/>
      <c r="S219" s="8"/>
      <c r="T219" s="8"/>
      <c r="U219" s="18"/>
      <c r="V219" s="18"/>
      <c r="W219" s="18"/>
      <c r="X219" s="18"/>
      <c r="Y219" s="18"/>
      <c r="Z219" s="8"/>
      <c r="AA219" s="18"/>
      <c r="AB219" s="18"/>
      <c r="AC219" s="8">
        <f t="shared" si="11"/>
        <v>0</v>
      </c>
      <c r="AD219" s="18"/>
      <c r="AE219" s="18">
        <f>+AD221</f>
        <v>0</v>
      </c>
      <c r="AF219" s="8"/>
      <c r="AG219" s="18"/>
      <c r="AH219" s="8"/>
      <c r="AI219" s="8"/>
      <c r="AJ219" s="8"/>
      <c r="AK219" s="8">
        <f t="shared" si="9"/>
        <v>0</v>
      </c>
      <c r="AL219" s="8">
        <f t="shared" si="10"/>
        <v>0</v>
      </c>
      <c r="AM219" s="9"/>
    </row>
    <row r="220" spans="1:39" ht="24.95" customHeight="1">
      <c r="A220" s="10" t="s">
        <v>257</v>
      </c>
      <c r="B220" s="8">
        <v>2228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18"/>
      <c r="N220" s="8"/>
      <c r="O220" s="8"/>
      <c r="P220" s="8"/>
      <c r="Q220" s="8"/>
      <c r="R220" s="8">
        <v>200</v>
      </c>
      <c r="S220" s="8"/>
      <c r="T220" s="8"/>
      <c r="U220" s="18"/>
      <c r="V220" s="18"/>
      <c r="W220" s="18"/>
      <c r="X220" s="18"/>
      <c r="Y220" s="18"/>
      <c r="Z220" s="8"/>
      <c r="AA220" s="18">
        <f>+Z221*2</f>
        <v>0</v>
      </c>
      <c r="AB220" s="18"/>
      <c r="AC220" s="8">
        <f t="shared" si="11"/>
        <v>0</v>
      </c>
      <c r="AD220" s="18"/>
      <c r="AE220" s="18"/>
      <c r="AF220" s="8"/>
      <c r="AG220" s="18"/>
      <c r="AH220" s="8"/>
      <c r="AI220" s="8"/>
      <c r="AJ220" s="8">
        <v>8</v>
      </c>
      <c r="AK220" s="8">
        <f t="shared" si="9"/>
        <v>-208</v>
      </c>
      <c r="AL220" s="8">
        <f t="shared" si="10"/>
        <v>2020</v>
      </c>
      <c r="AM220" s="9"/>
    </row>
    <row r="221" spans="1:39" ht="24.95" customHeight="1">
      <c r="A221" s="10" t="s">
        <v>258</v>
      </c>
      <c r="B221" s="8"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18"/>
      <c r="N221" s="8"/>
      <c r="O221" s="8"/>
      <c r="P221" s="8"/>
      <c r="Q221" s="8"/>
      <c r="R221" s="8"/>
      <c r="S221" s="8"/>
      <c r="T221" s="8"/>
      <c r="U221" s="18"/>
      <c r="V221" s="18"/>
      <c r="W221" s="18"/>
      <c r="X221" s="18"/>
      <c r="Y221" s="18"/>
      <c r="Z221" s="8"/>
      <c r="AA221" s="18"/>
      <c r="AB221" s="18"/>
      <c r="AC221" s="8">
        <f t="shared" si="11"/>
        <v>0</v>
      </c>
      <c r="AD221" s="18"/>
      <c r="AE221" s="18"/>
      <c r="AF221" s="8"/>
      <c r="AG221" s="18"/>
      <c r="AH221" s="8"/>
      <c r="AI221" s="8"/>
      <c r="AJ221" s="8"/>
      <c r="AK221" s="8">
        <f t="shared" si="9"/>
        <v>0</v>
      </c>
      <c r="AL221" s="8">
        <f t="shared" si="10"/>
        <v>0</v>
      </c>
      <c r="AM221" s="9"/>
    </row>
    <row r="222" spans="1:39" ht="24.95" customHeight="1">
      <c r="A222" s="10" t="s">
        <v>259</v>
      </c>
      <c r="B222" s="8">
        <v>0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18"/>
      <c r="N222" s="8"/>
      <c r="O222" s="8"/>
      <c r="P222" s="8"/>
      <c r="Q222" s="8"/>
      <c r="R222" s="8"/>
      <c r="S222" s="8"/>
      <c r="T222" s="8"/>
      <c r="U222" s="18"/>
      <c r="V222" s="18"/>
      <c r="W222" s="18"/>
      <c r="X222" s="18"/>
      <c r="Y222" s="18"/>
      <c r="Z222" s="8"/>
      <c r="AA222" s="18"/>
      <c r="AB222" s="18"/>
      <c r="AC222" s="8">
        <f t="shared" si="11"/>
        <v>0</v>
      </c>
      <c r="AD222" s="18"/>
      <c r="AE222" s="18"/>
      <c r="AF222" s="8"/>
      <c r="AG222" s="18"/>
      <c r="AH222" s="8"/>
      <c r="AI222" s="8"/>
      <c r="AJ222" s="8"/>
      <c r="AK222" s="8">
        <f t="shared" si="9"/>
        <v>0</v>
      </c>
      <c r="AL222" s="8">
        <f t="shared" si="10"/>
        <v>0</v>
      </c>
      <c r="AM222" s="9"/>
    </row>
    <row r="223" spans="1:39" ht="24.95" customHeight="1">
      <c r="A223" s="10" t="s">
        <v>260</v>
      </c>
      <c r="B223" s="8">
        <v>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18"/>
      <c r="N223" s="8"/>
      <c r="O223" s="8"/>
      <c r="P223" s="8"/>
      <c r="Q223" s="8"/>
      <c r="R223" s="8"/>
      <c r="S223" s="8"/>
      <c r="T223" s="8"/>
      <c r="U223" s="18"/>
      <c r="V223" s="18"/>
      <c r="W223" s="18"/>
      <c r="X223" s="18"/>
      <c r="Y223" s="18"/>
      <c r="Z223" s="8"/>
      <c r="AA223" s="18"/>
      <c r="AB223" s="18"/>
      <c r="AC223" s="8">
        <f t="shared" si="11"/>
        <v>0</v>
      </c>
      <c r="AD223" s="18"/>
      <c r="AE223" s="18"/>
      <c r="AF223" s="8"/>
      <c r="AG223" s="18"/>
      <c r="AH223" s="8"/>
      <c r="AI223" s="8"/>
      <c r="AJ223" s="8"/>
      <c r="AK223" s="8">
        <f t="shared" si="9"/>
        <v>0</v>
      </c>
      <c r="AL223" s="8">
        <f t="shared" si="10"/>
        <v>0</v>
      </c>
      <c r="AM223" s="9"/>
    </row>
    <row r="224" spans="1:39" ht="24.95" customHeight="1">
      <c r="A224" s="10" t="s">
        <v>261</v>
      </c>
      <c r="B224" s="8">
        <v>1468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18"/>
      <c r="N224" s="8"/>
      <c r="O224" s="8"/>
      <c r="P224" s="8"/>
      <c r="Q224" s="8"/>
      <c r="R224" s="8"/>
      <c r="S224" s="8"/>
      <c r="T224" s="8"/>
      <c r="U224" s="18"/>
      <c r="V224" s="18"/>
      <c r="W224" s="18"/>
      <c r="X224" s="18">
        <f>+Y225*2+Y226*2</f>
        <v>0</v>
      </c>
      <c r="Y224" s="18"/>
      <c r="Z224" s="8"/>
      <c r="AA224" s="18"/>
      <c r="AB224" s="18"/>
      <c r="AC224" s="8">
        <f t="shared" si="11"/>
        <v>0</v>
      </c>
      <c r="AD224" s="18"/>
      <c r="AE224" s="18"/>
      <c r="AF224" s="8"/>
      <c r="AG224" s="18"/>
      <c r="AH224" s="8"/>
      <c r="AI224" s="8"/>
      <c r="AJ224" s="8">
        <v>4</v>
      </c>
      <c r="AK224" s="8">
        <f t="shared" si="9"/>
        <v>-4</v>
      </c>
      <c r="AL224" s="8">
        <f t="shared" si="10"/>
        <v>1464</v>
      </c>
      <c r="AM224" s="9"/>
    </row>
    <row r="225" spans="1:39" ht="24.95" customHeight="1">
      <c r="A225" s="10" t="s">
        <v>262</v>
      </c>
      <c r="B225" s="8">
        <v>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18"/>
      <c r="N225" s="8"/>
      <c r="O225" s="8"/>
      <c r="P225" s="8"/>
      <c r="Q225" s="8"/>
      <c r="R225" s="8"/>
      <c r="S225" s="8"/>
      <c r="T225" s="8"/>
      <c r="U225" s="18"/>
      <c r="V225" s="18"/>
      <c r="W225" s="18"/>
      <c r="X225" s="18"/>
      <c r="Y225" s="18"/>
      <c r="Z225" s="8"/>
      <c r="AA225" s="18"/>
      <c r="AB225" s="18"/>
      <c r="AC225" s="8">
        <f t="shared" si="11"/>
        <v>0</v>
      </c>
      <c r="AD225" s="18"/>
      <c r="AE225" s="18"/>
      <c r="AF225" s="8"/>
      <c r="AG225" s="18"/>
      <c r="AH225" s="8"/>
      <c r="AI225" s="8"/>
      <c r="AJ225" s="8"/>
      <c r="AK225" s="8">
        <f t="shared" si="9"/>
        <v>0</v>
      </c>
      <c r="AL225" s="8">
        <f t="shared" si="10"/>
        <v>0</v>
      </c>
      <c r="AM225" s="9"/>
    </row>
    <row r="226" spans="1:39" ht="24.95" customHeight="1">
      <c r="A226" s="10" t="s">
        <v>263</v>
      </c>
      <c r="B226" s="8">
        <v>306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18"/>
      <c r="N226" s="8"/>
      <c r="O226" s="8"/>
      <c r="P226" s="8"/>
      <c r="Q226" s="8"/>
      <c r="R226" s="8"/>
      <c r="S226" s="8"/>
      <c r="T226" s="8"/>
      <c r="U226" s="18"/>
      <c r="V226" s="18"/>
      <c r="W226" s="18"/>
      <c r="X226" s="18"/>
      <c r="Y226" s="18"/>
      <c r="Z226" s="8"/>
      <c r="AA226" s="18"/>
      <c r="AB226" s="18"/>
      <c r="AC226" s="8"/>
      <c r="AD226" s="18"/>
      <c r="AE226" s="18"/>
      <c r="AF226" s="8"/>
      <c r="AG226" s="18"/>
      <c r="AH226" s="8"/>
      <c r="AI226" s="8"/>
      <c r="AJ226" s="8"/>
      <c r="AK226" s="8">
        <f t="shared" si="9"/>
        <v>0</v>
      </c>
      <c r="AL226" s="8">
        <f t="shared" si="10"/>
        <v>306</v>
      </c>
      <c r="AM226" s="9"/>
    </row>
    <row r="227" spans="1:39" ht="24.95" customHeight="1">
      <c r="A227" s="10" t="s">
        <v>264</v>
      </c>
      <c r="B227" s="8">
        <v>0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18"/>
      <c r="N227" s="8"/>
      <c r="O227" s="8"/>
      <c r="P227" s="8"/>
      <c r="Q227" s="8"/>
      <c r="R227" s="8"/>
      <c r="S227" s="8"/>
      <c r="T227" s="8"/>
      <c r="U227" s="18"/>
      <c r="V227" s="18"/>
      <c r="W227" s="18"/>
      <c r="X227" s="18"/>
      <c r="Y227" s="18"/>
      <c r="Z227" s="8"/>
      <c r="AA227" s="18"/>
      <c r="AB227" s="18"/>
      <c r="AC227" s="8">
        <f t="shared" ref="AC227:AC290" si="12">+AB227</f>
        <v>0</v>
      </c>
      <c r="AD227" s="18"/>
      <c r="AE227" s="18"/>
      <c r="AF227" s="8"/>
      <c r="AG227" s="18"/>
      <c r="AH227" s="8"/>
      <c r="AI227" s="8"/>
      <c r="AJ227" s="8"/>
      <c r="AK227" s="8">
        <f t="shared" si="9"/>
        <v>0</v>
      </c>
      <c r="AL227" s="8">
        <f t="shared" si="10"/>
        <v>0</v>
      </c>
      <c r="AM227" s="9"/>
    </row>
    <row r="228" spans="1:39" ht="24.95" customHeight="1">
      <c r="A228" s="10" t="s">
        <v>265</v>
      </c>
      <c r="B228" s="8">
        <v>191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18"/>
      <c r="N228" s="8"/>
      <c r="O228" s="8"/>
      <c r="P228" s="8"/>
      <c r="Q228" s="8"/>
      <c r="R228" s="8"/>
      <c r="S228" s="8"/>
      <c r="T228" s="8"/>
      <c r="U228" s="18"/>
      <c r="V228" s="18"/>
      <c r="W228" s="18"/>
      <c r="X228" s="18"/>
      <c r="Y228" s="18"/>
      <c r="Z228" s="8"/>
      <c r="AA228" s="18"/>
      <c r="AB228" s="18"/>
      <c r="AC228" s="8">
        <f t="shared" si="12"/>
        <v>0</v>
      </c>
      <c r="AD228" s="18"/>
      <c r="AE228" s="18">
        <f>+AD230</f>
        <v>0</v>
      </c>
      <c r="AF228" s="8"/>
      <c r="AG228" s="18"/>
      <c r="AH228" s="8"/>
      <c r="AI228" s="8"/>
      <c r="AJ228" s="8"/>
      <c r="AK228" s="8">
        <f t="shared" si="9"/>
        <v>0</v>
      </c>
      <c r="AL228" s="8">
        <f t="shared" si="10"/>
        <v>191</v>
      </c>
      <c r="AM228" s="9"/>
    </row>
    <row r="229" spans="1:39" ht="24.95" customHeight="1">
      <c r="A229" s="10" t="s">
        <v>266</v>
      </c>
      <c r="B229" s="8">
        <v>4607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18"/>
      <c r="N229" s="8"/>
      <c r="O229" s="8"/>
      <c r="P229" s="8"/>
      <c r="Q229" s="8"/>
      <c r="R229" s="8"/>
      <c r="S229" s="8"/>
      <c r="T229" s="8"/>
      <c r="U229" s="18"/>
      <c r="V229" s="18"/>
      <c r="W229" s="18"/>
      <c r="X229" s="18"/>
      <c r="Y229" s="18"/>
      <c r="Z229" s="8"/>
      <c r="AA229" s="18">
        <f>+Z230*2</f>
        <v>0</v>
      </c>
      <c r="AB229" s="18"/>
      <c r="AC229" s="8">
        <f t="shared" si="12"/>
        <v>0</v>
      </c>
      <c r="AD229" s="18"/>
      <c r="AE229" s="18"/>
      <c r="AF229" s="8"/>
      <c r="AG229" s="18"/>
      <c r="AH229" s="8"/>
      <c r="AI229" s="8"/>
      <c r="AJ229" s="8">
        <v>6</v>
      </c>
      <c r="AK229" s="8">
        <f t="shared" si="9"/>
        <v>-6</v>
      </c>
      <c r="AL229" s="8">
        <f t="shared" si="10"/>
        <v>4601</v>
      </c>
      <c r="AM229" s="9"/>
    </row>
    <row r="230" spans="1:39" ht="24.95" customHeight="1">
      <c r="A230" s="10" t="s">
        <v>267</v>
      </c>
      <c r="B230" s="8">
        <v>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18"/>
      <c r="N230" s="8"/>
      <c r="O230" s="8"/>
      <c r="P230" s="8"/>
      <c r="Q230" s="8"/>
      <c r="R230" s="8"/>
      <c r="S230" s="8"/>
      <c r="T230" s="8"/>
      <c r="U230" s="18"/>
      <c r="V230" s="18"/>
      <c r="W230" s="18"/>
      <c r="X230" s="18"/>
      <c r="Y230" s="18"/>
      <c r="Z230" s="8"/>
      <c r="AA230" s="18"/>
      <c r="AB230" s="18"/>
      <c r="AC230" s="8">
        <f t="shared" si="12"/>
        <v>0</v>
      </c>
      <c r="AD230" s="18"/>
      <c r="AE230" s="18"/>
      <c r="AF230" s="8"/>
      <c r="AG230" s="18"/>
      <c r="AH230" s="8"/>
      <c r="AI230" s="8"/>
      <c r="AJ230" s="8"/>
      <c r="AK230" s="8">
        <f t="shared" si="9"/>
        <v>0</v>
      </c>
      <c r="AL230" s="8">
        <f t="shared" si="10"/>
        <v>0</v>
      </c>
      <c r="AM230" s="9"/>
    </row>
    <row r="231" spans="1:39" ht="24.95" customHeight="1">
      <c r="A231" s="10" t="s">
        <v>268</v>
      </c>
      <c r="B231" s="8">
        <v>0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18"/>
      <c r="N231" s="8"/>
      <c r="O231" s="8"/>
      <c r="P231" s="8"/>
      <c r="Q231" s="8"/>
      <c r="R231" s="8"/>
      <c r="S231" s="8"/>
      <c r="T231" s="8"/>
      <c r="U231" s="18"/>
      <c r="V231" s="18"/>
      <c r="W231" s="18"/>
      <c r="X231" s="18"/>
      <c r="Y231" s="18"/>
      <c r="Z231" s="8"/>
      <c r="AA231" s="18"/>
      <c r="AB231" s="18"/>
      <c r="AC231" s="8">
        <f t="shared" si="12"/>
        <v>0</v>
      </c>
      <c r="AD231" s="18"/>
      <c r="AE231" s="18"/>
      <c r="AF231" s="8"/>
      <c r="AG231" s="18"/>
      <c r="AH231" s="8"/>
      <c r="AI231" s="8"/>
      <c r="AJ231" s="8"/>
      <c r="AK231" s="8">
        <f t="shared" si="9"/>
        <v>0</v>
      </c>
      <c r="AL231" s="8">
        <f t="shared" si="10"/>
        <v>0</v>
      </c>
      <c r="AM231" s="9"/>
    </row>
    <row r="232" spans="1:39" ht="24.95" customHeight="1">
      <c r="A232" s="10" t="s">
        <v>269</v>
      </c>
      <c r="B232" s="8">
        <v>16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18"/>
      <c r="N232" s="8"/>
      <c r="O232" s="8"/>
      <c r="P232" s="8"/>
      <c r="Q232" s="8"/>
      <c r="R232" s="8"/>
      <c r="S232" s="8"/>
      <c r="T232" s="8"/>
      <c r="U232" s="18"/>
      <c r="V232" s="18"/>
      <c r="W232" s="18"/>
      <c r="X232" s="18"/>
      <c r="Y232" s="18"/>
      <c r="Z232" s="8"/>
      <c r="AA232" s="18"/>
      <c r="AB232" s="18"/>
      <c r="AC232" s="8">
        <f t="shared" si="12"/>
        <v>0</v>
      </c>
      <c r="AD232" s="18"/>
      <c r="AE232" s="18">
        <f>+AD234</f>
        <v>0</v>
      </c>
      <c r="AF232" s="8"/>
      <c r="AG232" s="18"/>
      <c r="AH232" s="8"/>
      <c r="AI232" s="8"/>
      <c r="AJ232" s="8"/>
      <c r="AK232" s="8">
        <f t="shared" si="9"/>
        <v>0</v>
      </c>
      <c r="AL232" s="8">
        <f t="shared" si="10"/>
        <v>16</v>
      </c>
      <c r="AM232" s="9"/>
    </row>
    <row r="233" spans="1:39" ht="24.95" customHeight="1">
      <c r="A233" s="10" t="s">
        <v>270</v>
      </c>
      <c r="B233" s="8">
        <v>3278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8"/>
      <c r="N233" s="8"/>
      <c r="O233" s="8"/>
      <c r="P233" s="8"/>
      <c r="Q233" s="8"/>
      <c r="R233" s="8"/>
      <c r="S233" s="8"/>
      <c r="T233" s="8"/>
      <c r="U233" s="18"/>
      <c r="V233" s="18"/>
      <c r="W233" s="18"/>
      <c r="X233" s="18"/>
      <c r="Y233" s="18"/>
      <c r="Z233" s="8"/>
      <c r="AA233" s="18">
        <f>+Z234*2</f>
        <v>0</v>
      </c>
      <c r="AB233" s="18"/>
      <c r="AC233" s="8">
        <f t="shared" si="12"/>
        <v>0</v>
      </c>
      <c r="AD233" s="18"/>
      <c r="AE233" s="18"/>
      <c r="AF233" s="8"/>
      <c r="AG233" s="18"/>
      <c r="AH233" s="8"/>
      <c r="AI233" s="8"/>
      <c r="AJ233" s="8">
        <v>72</v>
      </c>
      <c r="AK233" s="8">
        <f t="shared" si="9"/>
        <v>-72</v>
      </c>
      <c r="AL233" s="8">
        <f t="shared" si="10"/>
        <v>3206</v>
      </c>
      <c r="AM233" s="9"/>
    </row>
    <row r="234" spans="1:39" ht="24.95" customHeight="1">
      <c r="A234" s="10" t="s">
        <v>271</v>
      </c>
      <c r="B234" s="8">
        <v>0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8"/>
      <c r="N234" s="8"/>
      <c r="O234" s="8"/>
      <c r="P234" s="8"/>
      <c r="Q234" s="8"/>
      <c r="R234" s="8"/>
      <c r="S234" s="8"/>
      <c r="T234" s="8"/>
      <c r="U234" s="18"/>
      <c r="V234" s="18"/>
      <c r="W234" s="18"/>
      <c r="X234" s="18"/>
      <c r="Y234" s="18"/>
      <c r="Z234" s="8"/>
      <c r="AA234" s="18"/>
      <c r="AB234" s="18"/>
      <c r="AC234" s="8">
        <f t="shared" si="12"/>
        <v>0</v>
      </c>
      <c r="AD234" s="18"/>
      <c r="AE234" s="18"/>
      <c r="AF234" s="8"/>
      <c r="AG234" s="18"/>
      <c r="AH234" s="8"/>
      <c r="AI234" s="8"/>
      <c r="AJ234" s="8"/>
      <c r="AK234" s="8">
        <f t="shared" si="9"/>
        <v>0</v>
      </c>
      <c r="AL234" s="8">
        <f t="shared" si="10"/>
        <v>0</v>
      </c>
      <c r="AM234" s="9"/>
    </row>
    <row r="235" spans="1:39" ht="24.95" customHeight="1">
      <c r="A235" s="10" t="s">
        <v>272</v>
      </c>
      <c r="B235" s="8">
        <v>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8"/>
      <c r="N235" s="8"/>
      <c r="O235" s="8"/>
      <c r="P235" s="8"/>
      <c r="Q235" s="8"/>
      <c r="R235" s="8"/>
      <c r="S235" s="8"/>
      <c r="T235" s="8"/>
      <c r="U235" s="18"/>
      <c r="V235" s="18"/>
      <c r="W235" s="18"/>
      <c r="X235" s="18"/>
      <c r="Y235" s="18"/>
      <c r="Z235" s="8"/>
      <c r="AA235" s="18"/>
      <c r="AB235" s="18"/>
      <c r="AC235" s="8">
        <f t="shared" si="12"/>
        <v>0</v>
      </c>
      <c r="AD235" s="18"/>
      <c r="AE235" s="18"/>
      <c r="AF235" s="8"/>
      <c r="AG235" s="18"/>
      <c r="AH235" s="8"/>
      <c r="AI235" s="8"/>
      <c r="AJ235" s="8"/>
      <c r="AK235" s="8">
        <f t="shared" si="9"/>
        <v>0</v>
      </c>
      <c r="AL235" s="8">
        <f t="shared" si="10"/>
        <v>0</v>
      </c>
      <c r="AM235" s="9"/>
    </row>
    <row r="236" spans="1:39" ht="24.95" customHeight="1">
      <c r="A236" s="10" t="s">
        <v>273</v>
      </c>
      <c r="B236" s="8">
        <v>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8"/>
      <c r="N236" s="8"/>
      <c r="O236" s="8"/>
      <c r="P236" s="8"/>
      <c r="Q236" s="8"/>
      <c r="R236" s="8"/>
      <c r="S236" s="8"/>
      <c r="T236" s="8"/>
      <c r="U236" s="18"/>
      <c r="V236" s="18"/>
      <c r="W236" s="18"/>
      <c r="X236" s="18"/>
      <c r="Y236" s="18"/>
      <c r="Z236" s="8"/>
      <c r="AA236" s="18"/>
      <c r="AB236" s="18"/>
      <c r="AC236" s="8">
        <f t="shared" si="12"/>
        <v>0</v>
      </c>
      <c r="AD236" s="18"/>
      <c r="AE236" s="18"/>
      <c r="AF236" s="8"/>
      <c r="AG236" s="18"/>
      <c r="AH236" s="8"/>
      <c r="AI236" s="8"/>
      <c r="AJ236" s="8"/>
      <c r="AK236" s="8">
        <f t="shared" si="9"/>
        <v>0</v>
      </c>
      <c r="AL236" s="8">
        <f t="shared" si="10"/>
        <v>0</v>
      </c>
      <c r="AM236" s="9"/>
    </row>
    <row r="237" spans="1:39" ht="24.95" customHeight="1">
      <c r="A237" s="10" t="s">
        <v>274</v>
      </c>
      <c r="B237" s="8">
        <v>4586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8"/>
      <c r="N237" s="8"/>
      <c r="O237" s="8"/>
      <c r="P237" s="8"/>
      <c r="Q237" s="8"/>
      <c r="R237" s="8"/>
      <c r="S237" s="8"/>
      <c r="T237" s="8"/>
      <c r="U237" s="18"/>
      <c r="V237" s="18"/>
      <c r="W237" s="18"/>
      <c r="X237" s="18"/>
      <c r="Y237" s="18"/>
      <c r="Z237" s="8"/>
      <c r="AA237" s="18">
        <f>+Z238*2</f>
        <v>0</v>
      </c>
      <c r="AB237" s="18"/>
      <c r="AC237" s="8">
        <f t="shared" si="12"/>
        <v>0</v>
      </c>
      <c r="AD237" s="18"/>
      <c r="AE237" s="18"/>
      <c r="AF237" s="8"/>
      <c r="AG237" s="18"/>
      <c r="AH237" s="8"/>
      <c r="AI237" s="8"/>
      <c r="AJ237" s="8">
        <v>95</v>
      </c>
      <c r="AK237" s="8">
        <f t="shared" si="9"/>
        <v>-95</v>
      </c>
      <c r="AL237" s="8">
        <f t="shared" si="10"/>
        <v>4491</v>
      </c>
      <c r="AM237" s="9"/>
    </row>
    <row r="238" spans="1:39" ht="24.95" customHeight="1">
      <c r="A238" s="10" t="s">
        <v>275</v>
      </c>
      <c r="B238" s="8">
        <v>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8"/>
      <c r="N238" s="8"/>
      <c r="O238" s="8"/>
      <c r="P238" s="8"/>
      <c r="Q238" s="8"/>
      <c r="R238" s="8"/>
      <c r="S238" s="8"/>
      <c r="T238" s="8"/>
      <c r="U238" s="18"/>
      <c r="V238" s="18"/>
      <c r="W238" s="18"/>
      <c r="X238" s="18"/>
      <c r="Y238" s="18"/>
      <c r="Z238" s="8"/>
      <c r="AA238" s="18"/>
      <c r="AB238" s="18"/>
      <c r="AC238" s="8">
        <f t="shared" si="12"/>
        <v>0</v>
      </c>
      <c r="AD238" s="18"/>
      <c r="AE238" s="18"/>
      <c r="AF238" s="8"/>
      <c r="AG238" s="18"/>
      <c r="AH238" s="8"/>
      <c r="AI238" s="8"/>
      <c r="AJ238" s="8"/>
      <c r="AK238" s="8">
        <f t="shared" si="9"/>
        <v>0</v>
      </c>
      <c r="AL238" s="8">
        <f t="shared" si="10"/>
        <v>0</v>
      </c>
      <c r="AM238" s="9"/>
    </row>
    <row r="239" spans="1:39" ht="24.95" customHeight="1">
      <c r="A239" s="10" t="s">
        <v>276</v>
      </c>
      <c r="B239" s="8"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8"/>
      <c r="N239" s="8"/>
      <c r="O239" s="8"/>
      <c r="P239" s="8"/>
      <c r="Q239" s="8"/>
      <c r="R239" s="8"/>
      <c r="S239" s="8"/>
      <c r="T239" s="8"/>
      <c r="U239" s="18"/>
      <c r="V239" s="18"/>
      <c r="W239" s="18"/>
      <c r="X239" s="18"/>
      <c r="Y239" s="18"/>
      <c r="Z239" s="8"/>
      <c r="AA239" s="18"/>
      <c r="AB239" s="18"/>
      <c r="AC239" s="8">
        <f t="shared" si="12"/>
        <v>0</v>
      </c>
      <c r="AD239" s="18"/>
      <c r="AE239" s="18"/>
      <c r="AF239" s="8"/>
      <c r="AG239" s="18"/>
      <c r="AH239" s="8"/>
      <c r="AI239" s="8"/>
      <c r="AJ239" s="8"/>
      <c r="AK239" s="8">
        <f t="shared" si="9"/>
        <v>0</v>
      </c>
      <c r="AL239" s="8">
        <f t="shared" si="10"/>
        <v>0</v>
      </c>
      <c r="AM239" s="9"/>
    </row>
    <row r="240" spans="1:39" ht="24.95" customHeight="1">
      <c r="A240" s="10" t="s">
        <v>277</v>
      </c>
      <c r="B240" s="8"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8"/>
      <c r="N240" s="8"/>
      <c r="O240" s="8"/>
      <c r="P240" s="8"/>
      <c r="Q240" s="8"/>
      <c r="R240" s="8"/>
      <c r="S240" s="8"/>
      <c r="T240" s="8"/>
      <c r="U240" s="18"/>
      <c r="V240" s="18"/>
      <c r="W240" s="18"/>
      <c r="X240" s="18"/>
      <c r="Y240" s="18"/>
      <c r="Z240" s="8"/>
      <c r="AA240" s="18"/>
      <c r="AB240" s="18"/>
      <c r="AC240" s="8">
        <f t="shared" si="12"/>
        <v>0</v>
      </c>
      <c r="AD240" s="18"/>
      <c r="AE240" s="18"/>
      <c r="AF240" s="8"/>
      <c r="AG240" s="18"/>
      <c r="AH240" s="8"/>
      <c r="AI240" s="8"/>
      <c r="AJ240" s="8"/>
      <c r="AK240" s="8">
        <f t="shared" si="9"/>
        <v>0</v>
      </c>
      <c r="AL240" s="8">
        <f t="shared" si="10"/>
        <v>0</v>
      </c>
      <c r="AM240" s="9"/>
    </row>
    <row r="241" spans="1:39" ht="24.95" customHeight="1">
      <c r="A241" s="10" t="s">
        <v>278</v>
      </c>
      <c r="B241" s="8">
        <v>2922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8"/>
      <c r="N241" s="8"/>
      <c r="O241" s="8"/>
      <c r="P241" s="8"/>
      <c r="Q241" s="8"/>
      <c r="R241" s="8"/>
      <c r="S241" s="8"/>
      <c r="T241" s="8"/>
      <c r="U241" s="18"/>
      <c r="V241" s="18"/>
      <c r="W241" s="18"/>
      <c r="X241" s="18"/>
      <c r="Y241" s="18"/>
      <c r="Z241" s="8"/>
      <c r="AA241" s="18">
        <f>+Z242*2</f>
        <v>0</v>
      </c>
      <c r="AB241" s="18"/>
      <c r="AC241" s="8">
        <f t="shared" si="12"/>
        <v>0</v>
      </c>
      <c r="AD241" s="18"/>
      <c r="AE241" s="18"/>
      <c r="AF241" s="8"/>
      <c r="AG241" s="18"/>
      <c r="AH241" s="8"/>
      <c r="AI241" s="8"/>
      <c r="AJ241" s="8">
        <v>8</v>
      </c>
      <c r="AK241" s="8">
        <f t="shared" si="9"/>
        <v>-8</v>
      </c>
      <c r="AL241" s="8">
        <f t="shared" si="10"/>
        <v>2914</v>
      </c>
      <c r="AM241" s="9"/>
    </row>
    <row r="242" spans="1:39" ht="24.95" customHeight="1">
      <c r="A242" s="10" t="s">
        <v>279</v>
      </c>
      <c r="B242" s="8">
        <v>700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8"/>
      <c r="N242" s="8"/>
      <c r="O242" s="8"/>
      <c r="P242" s="8"/>
      <c r="Q242" s="8"/>
      <c r="R242" s="8"/>
      <c r="S242" s="8"/>
      <c r="T242" s="8"/>
      <c r="U242" s="18"/>
      <c r="V242" s="18"/>
      <c r="W242" s="18"/>
      <c r="X242" s="18"/>
      <c r="Y242" s="18"/>
      <c r="Z242" s="8"/>
      <c r="AA242" s="18"/>
      <c r="AB242" s="18"/>
      <c r="AC242" s="8">
        <f t="shared" si="12"/>
        <v>0</v>
      </c>
      <c r="AD242" s="18"/>
      <c r="AE242" s="18"/>
      <c r="AF242" s="8"/>
      <c r="AG242" s="18"/>
      <c r="AH242" s="8"/>
      <c r="AI242" s="8"/>
      <c r="AJ242" s="8"/>
      <c r="AK242" s="8">
        <f t="shared" si="9"/>
        <v>0</v>
      </c>
      <c r="AL242" s="8">
        <f t="shared" si="10"/>
        <v>700</v>
      </c>
      <c r="AM242" s="9"/>
    </row>
    <row r="243" spans="1:39" ht="24.95" customHeight="1">
      <c r="A243" s="10" t="s">
        <v>280</v>
      </c>
      <c r="B243" s="8">
        <v>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8"/>
      <c r="N243" s="8"/>
      <c r="O243" s="8"/>
      <c r="P243" s="8"/>
      <c r="Q243" s="8"/>
      <c r="R243" s="8"/>
      <c r="S243" s="8"/>
      <c r="T243" s="8"/>
      <c r="U243" s="18"/>
      <c r="V243" s="18"/>
      <c r="W243" s="18"/>
      <c r="X243" s="18"/>
      <c r="Y243" s="18"/>
      <c r="Z243" s="8"/>
      <c r="AA243" s="18"/>
      <c r="AB243" s="18"/>
      <c r="AC243" s="8">
        <f t="shared" si="12"/>
        <v>0</v>
      </c>
      <c r="AD243" s="18"/>
      <c r="AE243" s="18"/>
      <c r="AF243" s="8"/>
      <c r="AG243" s="18"/>
      <c r="AH243" s="8"/>
      <c r="AI243" s="8"/>
      <c r="AJ243" s="8"/>
      <c r="AK243" s="8">
        <f t="shared" si="9"/>
        <v>0</v>
      </c>
      <c r="AL243" s="8">
        <f t="shared" si="10"/>
        <v>0</v>
      </c>
      <c r="AM243" s="9"/>
    </row>
    <row r="244" spans="1:39" ht="24.95" customHeight="1">
      <c r="A244" s="10" t="s">
        <v>281</v>
      </c>
      <c r="B244" s="8">
        <v>0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8"/>
      <c r="N244" s="8"/>
      <c r="O244" s="8"/>
      <c r="P244" s="8"/>
      <c r="Q244" s="8"/>
      <c r="R244" s="8"/>
      <c r="S244" s="8"/>
      <c r="T244" s="8"/>
      <c r="U244" s="18"/>
      <c r="V244" s="18"/>
      <c r="W244" s="18"/>
      <c r="X244" s="18"/>
      <c r="Y244" s="18"/>
      <c r="Z244" s="8"/>
      <c r="AA244" s="18"/>
      <c r="AB244" s="18"/>
      <c r="AC244" s="8">
        <f t="shared" si="12"/>
        <v>0</v>
      </c>
      <c r="AD244" s="18"/>
      <c r="AE244" s="18"/>
      <c r="AF244" s="8"/>
      <c r="AG244" s="18"/>
      <c r="AH244" s="8"/>
      <c r="AI244" s="8"/>
      <c r="AJ244" s="8"/>
      <c r="AK244" s="8">
        <f t="shared" si="9"/>
        <v>0</v>
      </c>
      <c r="AL244" s="8">
        <f t="shared" si="10"/>
        <v>0</v>
      </c>
      <c r="AM244" s="9"/>
    </row>
    <row r="245" spans="1:39" ht="24.95" customHeight="1">
      <c r="A245" s="10" t="s">
        <v>282</v>
      </c>
      <c r="B245" s="8">
        <v>762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8"/>
      <c r="N245" s="8"/>
      <c r="O245" s="8"/>
      <c r="P245" s="8"/>
      <c r="Q245" s="8"/>
      <c r="R245" s="8"/>
      <c r="S245" s="8"/>
      <c r="T245" s="8"/>
      <c r="U245" s="18"/>
      <c r="V245" s="18"/>
      <c r="W245" s="18"/>
      <c r="X245" s="18"/>
      <c r="Y245" s="18"/>
      <c r="Z245" s="8"/>
      <c r="AA245" s="18">
        <f>+Z244*2</f>
        <v>0</v>
      </c>
      <c r="AB245" s="18"/>
      <c r="AC245" s="8">
        <f t="shared" si="12"/>
        <v>0</v>
      </c>
      <c r="AD245" s="18"/>
      <c r="AE245" s="18">
        <f>+AD243</f>
        <v>0</v>
      </c>
      <c r="AF245" s="8"/>
      <c r="AG245" s="18"/>
      <c r="AH245" s="8"/>
      <c r="AI245" s="8"/>
      <c r="AJ245" s="8"/>
      <c r="AK245" s="8">
        <f t="shared" si="9"/>
        <v>0</v>
      </c>
      <c r="AL245" s="8">
        <f t="shared" si="10"/>
        <v>762</v>
      </c>
      <c r="AM245" s="9"/>
    </row>
    <row r="246" spans="1:39" ht="24.95" customHeight="1">
      <c r="A246" s="10" t="s">
        <v>283</v>
      </c>
      <c r="B246" s="8">
        <v>0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8"/>
      <c r="N246" s="8"/>
      <c r="O246" s="8"/>
      <c r="P246" s="8"/>
      <c r="Q246" s="8"/>
      <c r="R246" s="8"/>
      <c r="S246" s="8"/>
      <c r="T246" s="8"/>
      <c r="U246" s="18"/>
      <c r="V246" s="18"/>
      <c r="W246" s="18"/>
      <c r="X246" s="18"/>
      <c r="Y246" s="18"/>
      <c r="Z246" s="8"/>
      <c r="AA246" s="18"/>
      <c r="AB246" s="18"/>
      <c r="AC246" s="8">
        <f t="shared" si="12"/>
        <v>0</v>
      </c>
      <c r="AD246" s="18"/>
      <c r="AE246" s="18"/>
      <c r="AF246" s="8"/>
      <c r="AG246" s="18"/>
      <c r="AH246" s="8"/>
      <c r="AI246" s="8"/>
      <c r="AJ246" s="8"/>
      <c r="AK246" s="8">
        <f t="shared" si="9"/>
        <v>0</v>
      </c>
      <c r="AL246" s="8">
        <f t="shared" si="10"/>
        <v>0</v>
      </c>
      <c r="AM246" s="9"/>
    </row>
    <row r="247" spans="1:39" ht="24.95" customHeight="1">
      <c r="A247" s="10" t="s">
        <v>284</v>
      </c>
      <c r="B247" s="8">
        <v>0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8"/>
      <c r="N247" s="8"/>
      <c r="O247" s="8"/>
      <c r="P247" s="8"/>
      <c r="Q247" s="8"/>
      <c r="R247" s="8"/>
      <c r="S247" s="8"/>
      <c r="T247" s="8"/>
      <c r="U247" s="18"/>
      <c r="V247" s="18"/>
      <c r="W247" s="18"/>
      <c r="X247" s="18"/>
      <c r="Y247" s="18"/>
      <c r="Z247" s="8"/>
      <c r="AA247" s="18"/>
      <c r="AB247" s="18"/>
      <c r="AC247" s="8">
        <f t="shared" si="12"/>
        <v>0</v>
      </c>
      <c r="AD247" s="18"/>
      <c r="AE247" s="18"/>
      <c r="AF247" s="8"/>
      <c r="AG247" s="18"/>
      <c r="AH247" s="8"/>
      <c r="AI247" s="8"/>
      <c r="AJ247" s="8"/>
      <c r="AK247" s="8">
        <f t="shared" si="9"/>
        <v>0</v>
      </c>
      <c r="AL247" s="8">
        <f t="shared" si="10"/>
        <v>0</v>
      </c>
      <c r="AM247" s="9"/>
    </row>
    <row r="248" spans="1:39" ht="24.95" customHeight="1">
      <c r="A248" s="10" t="s">
        <v>285</v>
      </c>
      <c r="B248" s="8">
        <v>0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8"/>
      <c r="N248" s="8"/>
      <c r="O248" s="8"/>
      <c r="P248" s="8"/>
      <c r="Q248" s="8"/>
      <c r="R248" s="8"/>
      <c r="S248" s="8"/>
      <c r="T248" s="8"/>
      <c r="U248" s="18"/>
      <c r="V248" s="18"/>
      <c r="W248" s="18"/>
      <c r="X248" s="18"/>
      <c r="Y248" s="18"/>
      <c r="Z248" s="8"/>
      <c r="AA248" s="18"/>
      <c r="AB248" s="18"/>
      <c r="AC248" s="8">
        <f t="shared" si="12"/>
        <v>0</v>
      </c>
      <c r="AD248" s="18"/>
      <c r="AE248" s="18"/>
      <c r="AF248" s="8"/>
      <c r="AG248" s="18"/>
      <c r="AH248" s="8"/>
      <c r="AI248" s="8"/>
      <c r="AJ248" s="8"/>
      <c r="AK248" s="8">
        <f t="shared" si="9"/>
        <v>0</v>
      </c>
      <c r="AL248" s="8">
        <f t="shared" si="10"/>
        <v>0</v>
      </c>
      <c r="AM248" s="9"/>
    </row>
    <row r="249" spans="1:39" ht="24.95" customHeight="1">
      <c r="A249" s="10" t="s">
        <v>286</v>
      </c>
      <c r="B249" s="8">
        <v>7039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8"/>
      <c r="N249" s="8"/>
      <c r="O249" s="8"/>
      <c r="P249" s="8"/>
      <c r="Q249" s="8"/>
      <c r="R249" s="8"/>
      <c r="S249" s="8"/>
      <c r="T249" s="8"/>
      <c r="U249" s="18"/>
      <c r="V249" s="18"/>
      <c r="W249" s="18"/>
      <c r="X249" s="18"/>
      <c r="Y249" s="18"/>
      <c r="Z249" s="8"/>
      <c r="AA249" s="18">
        <f>+Z250*2</f>
        <v>0</v>
      </c>
      <c r="AB249" s="18"/>
      <c r="AC249" s="8">
        <f t="shared" si="12"/>
        <v>0</v>
      </c>
      <c r="AD249" s="18"/>
      <c r="AE249" s="18"/>
      <c r="AF249" s="8"/>
      <c r="AG249" s="18"/>
      <c r="AH249" s="8"/>
      <c r="AI249" s="8"/>
      <c r="AJ249" s="8">
        <v>6</v>
      </c>
      <c r="AK249" s="8">
        <f t="shared" si="9"/>
        <v>-6</v>
      </c>
      <c r="AL249" s="8">
        <f t="shared" si="10"/>
        <v>7033</v>
      </c>
      <c r="AM249" s="9"/>
    </row>
    <row r="250" spans="1:39" ht="24.95" customHeight="1">
      <c r="A250" s="10" t="s">
        <v>287</v>
      </c>
      <c r="B250" s="8">
        <v>0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8"/>
      <c r="N250" s="8"/>
      <c r="O250" s="8"/>
      <c r="P250" s="8"/>
      <c r="Q250" s="8"/>
      <c r="R250" s="8"/>
      <c r="S250" s="8"/>
      <c r="T250" s="8"/>
      <c r="U250" s="18"/>
      <c r="V250" s="18"/>
      <c r="W250" s="18"/>
      <c r="X250" s="18"/>
      <c r="Y250" s="18"/>
      <c r="Z250" s="8"/>
      <c r="AA250" s="18"/>
      <c r="AB250" s="18"/>
      <c r="AC250" s="8">
        <f t="shared" si="12"/>
        <v>0</v>
      </c>
      <c r="AD250" s="18"/>
      <c r="AE250" s="18"/>
      <c r="AF250" s="8"/>
      <c r="AG250" s="18"/>
      <c r="AH250" s="8"/>
      <c r="AI250" s="8"/>
      <c r="AJ250" s="8"/>
      <c r="AK250" s="8">
        <f t="shared" si="9"/>
        <v>0</v>
      </c>
      <c r="AL250" s="8">
        <f t="shared" si="10"/>
        <v>0</v>
      </c>
      <c r="AM250" s="9"/>
    </row>
    <row r="251" spans="1:39" ht="24.95" customHeight="1">
      <c r="A251" s="10" t="s">
        <v>288</v>
      </c>
      <c r="B251" s="8">
        <v>8780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8"/>
      <c r="N251" s="8"/>
      <c r="O251" s="8"/>
      <c r="P251" s="8"/>
      <c r="Q251" s="8"/>
      <c r="R251" s="8">
        <v>300</v>
      </c>
      <c r="S251" s="8"/>
      <c r="T251" s="8"/>
      <c r="U251" s="18"/>
      <c r="V251" s="18"/>
      <c r="W251" s="18"/>
      <c r="X251" s="18"/>
      <c r="Y251" s="18"/>
      <c r="Z251" s="8"/>
      <c r="AA251" s="18">
        <f>+Z252*2</f>
        <v>100</v>
      </c>
      <c r="AB251" s="18"/>
      <c r="AC251" s="8">
        <f t="shared" si="12"/>
        <v>0</v>
      </c>
      <c r="AD251" s="18"/>
      <c r="AE251" s="18"/>
      <c r="AF251" s="8"/>
      <c r="AG251" s="18"/>
      <c r="AH251" s="8"/>
      <c r="AI251" s="8"/>
      <c r="AJ251" s="8">
        <v>535</v>
      </c>
      <c r="AK251" s="8">
        <f t="shared" si="9"/>
        <v>-935</v>
      </c>
      <c r="AL251" s="8">
        <f t="shared" si="10"/>
        <v>7845</v>
      </c>
      <c r="AM251" s="11"/>
    </row>
    <row r="252" spans="1:39" ht="24.95" customHeight="1">
      <c r="A252" s="10" t="s">
        <v>289</v>
      </c>
      <c r="B252" s="8">
        <v>0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8"/>
      <c r="N252" s="8"/>
      <c r="O252" s="8"/>
      <c r="P252" s="8"/>
      <c r="Q252" s="8"/>
      <c r="R252" s="8">
        <v>50</v>
      </c>
      <c r="S252" s="8"/>
      <c r="T252" s="8"/>
      <c r="U252" s="18"/>
      <c r="V252" s="18"/>
      <c r="W252" s="18"/>
      <c r="X252" s="18"/>
      <c r="Y252" s="18"/>
      <c r="Z252" s="8">
        <v>50</v>
      </c>
      <c r="AA252" s="18"/>
      <c r="AB252" s="18"/>
      <c r="AC252" s="8">
        <f t="shared" si="12"/>
        <v>0</v>
      </c>
      <c r="AD252" s="18"/>
      <c r="AE252" s="18"/>
      <c r="AF252" s="8"/>
      <c r="AG252" s="18"/>
      <c r="AH252" s="8"/>
      <c r="AI252" s="8"/>
      <c r="AJ252" s="8"/>
      <c r="AK252" s="8">
        <f t="shared" si="9"/>
        <v>0</v>
      </c>
      <c r="AL252" s="8">
        <f t="shared" si="10"/>
        <v>0</v>
      </c>
      <c r="AM252" s="9"/>
    </row>
    <row r="253" spans="1:39" ht="24.95" customHeight="1">
      <c r="A253" s="17" t="s">
        <v>290</v>
      </c>
      <c r="B253" s="8">
        <v>0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8"/>
      <c r="N253" s="8"/>
      <c r="O253" s="8"/>
      <c r="P253" s="8"/>
      <c r="Q253" s="8"/>
      <c r="R253" s="8"/>
      <c r="S253" s="8"/>
      <c r="T253" s="8"/>
      <c r="U253" s="18"/>
      <c r="V253" s="18"/>
      <c r="W253" s="18"/>
      <c r="X253" s="18"/>
      <c r="Y253" s="18"/>
      <c r="Z253" s="8"/>
      <c r="AA253" s="18"/>
      <c r="AB253" s="18"/>
      <c r="AC253" s="8">
        <f t="shared" si="12"/>
        <v>0</v>
      </c>
      <c r="AD253" s="18"/>
      <c r="AE253" s="18"/>
      <c r="AF253" s="8"/>
      <c r="AG253" s="18"/>
      <c r="AH253" s="8"/>
      <c r="AI253" s="8"/>
      <c r="AJ253" s="8"/>
      <c r="AK253" s="8">
        <f t="shared" si="9"/>
        <v>0</v>
      </c>
      <c r="AL253" s="8">
        <f t="shared" si="10"/>
        <v>0</v>
      </c>
      <c r="AM253" s="9"/>
    </row>
    <row r="254" spans="1:39" ht="24.95" customHeight="1">
      <c r="A254" s="17" t="s">
        <v>291</v>
      </c>
      <c r="B254" s="8">
        <v>0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8"/>
      <c r="N254" s="8"/>
      <c r="O254" s="8"/>
      <c r="P254" s="8"/>
      <c r="Q254" s="8"/>
      <c r="R254" s="8"/>
      <c r="S254" s="8"/>
      <c r="T254" s="8"/>
      <c r="U254" s="18"/>
      <c r="V254" s="18"/>
      <c r="W254" s="18"/>
      <c r="X254" s="18"/>
      <c r="Y254" s="18"/>
      <c r="Z254" s="8"/>
      <c r="AA254" s="18"/>
      <c r="AB254" s="18"/>
      <c r="AC254" s="8">
        <f t="shared" si="12"/>
        <v>0</v>
      </c>
      <c r="AD254" s="18"/>
      <c r="AE254" s="18"/>
      <c r="AF254" s="8"/>
      <c r="AG254" s="18"/>
      <c r="AH254" s="8"/>
      <c r="AI254" s="8"/>
      <c r="AJ254" s="8"/>
      <c r="AK254" s="8">
        <f t="shared" si="9"/>
        <v>0</v>
      </c>
      <c r="AL254" s="8">
        <f t="shared" si="10"/>
        <v>0</v>
      </c>
      <c r="AM254" s="9"/>
    </row>
    <row r="255" spans="1:39" ht="24.95" customHeight="1">
      <c r="A255" s="17" t="s">
        <v>292</v>
      </c>
      <c r="B255" s="8">
        <v>6434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8"/>
      <c r="N255" s="8"/>
      <c r="O255" s="8"/>
      <c r="P255" s="8"/>
      <c r="Q255" s="8"/>
      <c r="R255" s="8"/>
      <c r="S255" s="8"/>
      <c r="T255" s="8"/>
      <c r="U255" s="18"/>
      <c r="V255" s="18"/>
      <c r="W255" s="18"/>
      <c r="X255" s="18"/>
      <c r="Y255" s="18"/>
      <c r="Z255" s="8"/>
      <c r="AA255" s="18">
        <f>+Z256*2</f>
        <v>0</v>
      </c>
      <c r="AB255" s="18"/>
      <c r="AC255" s="8">
        <f t="shared" si="12"/>
        <v>0</v>
      </c>
      <c r="AD255" s="18"/>
      <c r="AE255" s="18"/>
      <c r="AF255" s="8"/>
      <c r="AG255" s="18"/>
      <c r="AH255" s="8"/>
      <c r="AI255" s="8"/>
      <c r="AJ255" s="8">
        <v>6</v>
      </c>
      <c r="AK255" s="8">
        <f t="shared" si="9"/>
        <v>-6</v>
      </c>
      <c r="AL255" s="8">
        <f t="shared" si="10"/>
        <v>6428</v>
      </c>
      <c r="AM255" s="9"/>
    </row>
    <row r="256" spans="1:39" ht="24.95" customHeight="1">
      <c r="A256" s="17" t="s">
        <v>293</v>
      </c>
      <c r="B256" s="8">
        <v>0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8"/>
      <c r="N256" s="8"/>
      <c r="O256" s="8"/>
      <c r="P256" s="8"/>
      <c r="Q256" s="8"/>
      <c r="R256" s="8"/>
      <c r="S256" s="8"/>
      <c r="T256" s="8"/>
      <c r="U256" s="18"/>
      <c r="V256" s="18"/>
      <c r="W256" s="18"/>
      <c r="X256" s="18"/>
      <c r="Y256" s="18"/>
      <c r="Z256" s="8"/>
      <c r="AA256" s="18"/>
      <c r="AB256" s="18"/>
      <c r="AC256" s="8">
        <f t="shared" si="12"/>
        <v>0</v>
      </c>
      <c r="AD256" s="18"/>
      <c r="AE256" s="18"/>
      <c r="AF256" s="8"/>
      <c r="AG256" s="18"/>
      <c r="AH256" s="8"/>
      <c r="AI256" s="8"/>
      <c r="AJ256" s="8"/>
      <c r="AK256" s="8">
        <f t="shared" si="9"/>
        <v>0</v>
      </c>
      <c r="AL256" s="8">
        <f t="shared" si="10"/>
        <v>0</v>
      </c>
      <c r="AM256" s="9"/>
    </row>
    <row r="257" spans="1:39" ht="24.95" customHeight="1">
      <c r="A257" s="10" t="s">
        <v>294</v>
      </c>
      <c r="B257" s="8">
        <v>0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8"/>
      <c r="N257" s="8"/>
      <c r="O257" s="8"/>
      <c r="P257" s="8"/>
      <c r="Q257" s="8"/>
      <c r="R257" s="8"/>
      <c r="S257" s="8"/>
      <c r="T257" s="8"/>
      <c r="U257" s="18"/>
      <c r="V257" s="18"/>
      <c r="W257" s="18"/>
      <c r="X257" s="18"/>
      <c r="Y257" s="18"/>
      <c r="Z257" s="8"/>
      <c r="AA257" s="18"/>
      <c r="AB257" s="18"/>
      <c r="AC257" s="8">
        <f t="shared" si="12"/>
        <v>0</v>
      </c>
      <c r="AD257" s="18"/>
      <c r="AE257" s="18"/>
      <c r="AF257" s="8"/>
      <c r="AG257" s="18"/>
      <c r="AH257" s="8"/>
      <c r="AI257" s="8"/>
      <c r="AJ257" s="8"/>
      <c r="AK257" s="8">
        <f t="shared" si="9"/>
        <v>0</v>
      </c>
      <c r="AL257" s="8">
        <f t="shared" si="10"/>
        <v>0</v>
      </c>
      <c r="AM257" s="9"/>
    </row>
    <row r="258" spans="1:39" ht="24.75" customHeight="1">
      <c r="A258" s="10" t="s">
        <v>295</v>
      </c>
      <c r="B258" s="8">
        <v>0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8"/>
      <c r="N258" s="8"/>
      <c r="O258" s="8"/>
      <c r="P258" s="8"/>
      <c r="Q258" s="8"/>
      <c r="R258" s="8"/>
      <c r="S258" s="8"/>
      <c r="T258" s="8"/>
      <c r="U258" s="18"/>
      <c r="V258" s="18"/>
      <c r="W258" s="18"/>
      <c r="X258" s="18"/>
      <c r="Y258" s="18"/>
      <c r="Z258" s="8"/>
      <c r="AA258" s="18"/>
      <c r="AB258" s="18"/>
      <c r="AC258" s="8">
        <f t="shared" si="12"/>
        <v>0</v>
      </c>
      <c r="AD258" s="18"/>
      <c r="AE258" s="18"/>
      <c r="AF258" s="8"/>
      <c r="AG258" s="18"/>
      <c r="AH258" s="8"/>
      <c r="AI258" s="8"/>
      <c r="AJ258" s="8"/>
      <c r="AK258" s="8">
        <f t="shared" ref="AK258:AK321" si="13">SUM((D258+P258+G258+L258+S258+X258+Z258+AD258+M258+J258+V258+AB258+F258+AG258+O258+AI258)+(-N258-E258-R258-Q258-T258-Y258-AA258-AE258-AJ258-K258-I258-H258-U258-AC258-AF258-AH258-W258))</f>
        <v>0</v>
      </c>
      <c r="AL258" s="8">
        <f t="shared" ref="AL258:AL321" si="14">B258+AK258</f>
        <v>0</v>
      </c>
      <c r="AM258" s="9"/>
    </row>
    <row r="259" spans="1:39" ht="24.95" customHeight="1">
      <c r="A259" s="10" t="s">
        <v>296</v>
      </c>
      <c r="B259" s="8">
        <v>1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8"/>
      <c r="N259" s="8"/>
      <c r="O259" s="8"/>
      <c r="P259" s="8"/>
      <c r="Q259" s="8"/>
      <c r="R259" s="8"/>
      <c r="S259" s="8"/>
      <c r="T259" s="8"/>
      <c r="U259" s="18"/>
      <c r="V259" s="18"/>
      <c r="W259" s="18"/>
      <c r="X259" s="18">
        <f>+Y260*2</f>
        <v>2</v>
      </c>
      <c r="Y259" s="18"/>
      <c r="Z259" s="8"/>
      <c r="AA259" s="18">
        <f>+Z260*2</f>
        <v>0</v>
      </c>
      <c r="AB259" s="18"/>
      <c r="AC259" s="8">
        <f t="shared" si="12"/>
        <v>0</v>
      </c>
      <c r="AD259" s="18"/>
      <c r="AE259" s="18"/>
      <c r="AF259" s="8"/>
      <c r="AG259" s="18"/>
      <c r="AH259" s="8"/>
      <c r="AI259" s="8"/>
      <c r="AJ259" s="8">
        <v>3</v>
      </c>
      <c r="AK259" s="8">
        <f t="shared" si="13"/>
        <v>-1</v>
      </c>
      <c r="AL259" s="8">
        <f t="shared" si="14"/>
        <v>0</v>
      </c>
      <c r="AM259" s="9"/>
    </row>
    <row r="260" spans="1:39" ht="24.95" customHeight="1">
      <c r="A260" s="10" t="s">
        <v>297</v>
      </c>
      <c r="B260" s="8">
        <v>328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8"/>
      <c r="N260" s="8"/>
      <c r="O260" s="8"/>
      <c r="P260" s="8"/>
      <c r="Q260" s="8"/>
      <c r="R260" s="8"/>
      <c r="S260" s="8"/>
      <c r="T260" s="8"/>
      <c r="U260" s="18"/>
      <c r="V260" s="18"/>
      <c r="W260" s="18"/>
      <c r="X260" s="18"/>
      <c r="Y260" s="18">
        <v>1</v>
      </c>
      <c r="Z260" s="8"/>
      <c r="AA260" s="18"/>
      <c r="AB260" s="18"/>
      <c r="AC260" s="8">
        <f t="shared" si="12"/>
        <v>0</v>
      </c>
      <c r="AD260" s="18"/>
      <c r="AE260" s="18"/>
      <c r="AF260" s="8"/>
      <c r="AG260" s="18"/>
      <c r="AH260" s="8"/>
      <c r="AI260" s="8"/>
      <c r="AJ260" s="8"/>
      <c r="AK260" s="8">
        <f t="shared" si="13"/>
        <v>-1</v>
      </c>
      <c r="AL260" s="8">
        <f t="shared" si="14"/>
        <v>327</v>
      </c>
      <c r="AM260" s="9"/>
    </row>
    <row r="261" spans="1:39" ht="24.95" customHeight="1">
      <c r="A261" s="10" t="s">
        <v>298</v>
      </c>
      <c r="B261" s="8">
        <v>0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8"/>
      <c r="N261" s="8"/>
      <c r="O261" s="8"/>
      <c r="P261" s="8"/>
      <c r="Q261" s="8"/>
      <c r="R261" s="8"/>
      <c r="S261" s="8"/>
      <c r="T261" s="8"/>
      <c r="U261" s="18"/>
      <c r="V261" s="18"/>
      <c r="W261" s="18"/>
      <c r="X261" s="18"/>
      <c r="Y261" s="18"/>
      <c r="Z261" s="8"/>
      <c r="AA261" s="18"/>
      <c r="AB261" s="18"/>
      <c r="AC261" s="8">
        <f t="shared" si="12"/>
        <v>0</v>
      </c>
      <c r="AD261" s="18"/>
      <c r="AE261" s="18"/>
      <c r="AF261" s="8"/>
      <c r="AG261" s="18"/>
      <c r="AH261" s="8"/>
      <c r="AI261" s="8"/>
      <c r="AJ261" s="8"/>
      <c r="AK261" s="8">
        <f t="shared" si="13"/>
        <v>0</v>
      </c>
      <c r="AL261" s="8">
        <f t="shared" si="14"/>
        <v>0</v>
      </c>
      <c r="AM261" s="9"/>
    </row>
    <row r="262" spans="1:39" ht="24.95" customHeight="1">
      <c r="A262" s="17" t="s">
        <v>299</v>
      </c>
      <c r="B262" s="8">
        <v>1795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8"/>
      <c r="N262" s="8"/>
      <c r="O262" s="8"/>
      <c r="P262" s="8"/>
      <c r="Q262" s="8"/>
      <c r="R262" s="8"/>
      <c r="S262" s="8"/>
      <c r="T262" s="8"/>
      <c r="U262" s="18"/>
      <c r="V262" s="18"/>
      <c r="W262" s="18"/>
      <c r="X262" s="18"/>
      <c r="Y262" s="18"/>
      <c r="Z262" s="8"/>
      <c r="AA262" s="18">
        <f>+Z264*3+Z263*2</f>
        <v>0</v>
      </c>
      <c r="AB262" s="18"/>
      <c r="AC262" s="8">
        <f t="shared" si="12"/>
        <v>0</v>
      </c>
      <c r="AD262" s="18"/>
      <c r="AE262" s="18"/>
      <c r="AF262" s="8"/>
      <c r="AG262" s="18"/>
      <c r="AH262" s="8"/>
      <c r="AI262" s="8"/>
      <c r="AJ262" s="8">
        <v>2</v>
      </c>
      <c r="AK262" s="8">
        <f t="shared" si="13"/>
        <v>-2</v>
      </c>
      <c r="AL262" s="8">
        <f t="shared" si="14"/>
        <v>1793</v>
      </c>
      <c r="AM262" s="9"/>
    </row>
    <row r="263" spans="1:39" ht="24.95" customHeight="1">
      <c r="A263" s="17" t="s">
        <v>300</v>
      </c>
      <c r="B263" s="8">
        <v>30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8"/>
      <c r="N263" s="8"/>
      <c r="O263" s="8"/>
      <c r="P263" s="8"/>
      <c r="Q263" s="8"/>
      <c r="R263" s="8"/>
      <c r="S263" s="8"/>
      <c r="T263" s="8"/>
      <c r="U263" s="18"/>
      <c r="V263" s="18"/>
      <c r="W263" s="18"/>
      <c r="X263" s="18"/>
      <c r="Y263" s="18"/>
      <c r="Z263" s="8"/>
      <c r="AA263" s="18"/>
      <c r="AB263" s="18"/>
      <c r="AC263" s="8">
        <f t="shared" si="12"/>
        <v>0</v>
      </c>
      <c r="AD263" s="18"/>
      <c r="AE263" s="18"/>
      <c r="AF263" s="8"/>
      <c r="AG263" s="18"/>
      <c r="AH263" s="8"/>
      <c r="AI263" s="8"/>
      <c r="AJ263" s="8"/>
      <c r="AK263" s="8">
        <f t="shared" si="13"/>
        <v>0</v>
      </c>
      <c r="AL263" s="8">
        <f t="shared" si="14"/>
        <v>30</v>
      </c>
      <c r="AM263" s="9"/>
    </row>
    <row r="264" spans="1:39" ht="24.95" customHeight="1">
      <c r="A264" s="17" t="s">
        <v>301</v>
      </c>
      <c r="B264" s="8">
        <v>2018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8"/>
      <c r="N264" s="8"/>
      <c r="O264" s="8"/>
      <c r="P264" s="8"/>
      <c r="Q264" s="8"/>
      <c r="R264" s="8"/>
      <c r="S264" s="8"/>
      <c r="T264" s="8"/>
      <c r="U264" s="18"/>
      <c r="V264" s="18"/>
      <c r="W264" s="18"/>
      <c r="X264" s="18"/>
      <c r="Y264" s="18"/>
      <c r="Z264" s="8"/>
      <c r="AA264" s="18"/>
      <c r="AB264" s="18"/>
      <c r="AC264" s="8">
        <f t="shared" si="12"/>
        <v>0</v>
      </c>
      <c r="AD264" s="18"/>
      <c r="AE264" s="18"/>
      <c r="AF264" s="8"/>
      <c r="AG264" s="18"/>
      <c r="AH264" s="8"/>
      <c r="AI264" s="8"/>
      <c r="AJ264" s="8"/>
      <c r="AK264" s="8">
        <f t="shared" si="13"/>
        <v>0</v>
      </c>
      <c r="AL264" s="8">
        <f t="shared" si="14"/>
        <v>2018</v>
      </c>
      <c r="AM264" s="9"/>
    </row>
    <row r="265" spans="1:39" ht="24.95" customHeight="1">
      <c r="A265" s="17" t="s">
        <v>302</v>
      </c>
      <c r="B265" s="8">
        <v>0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8"/>
      <c r="N265" s="8"/>
      <c r="O265" s="8"/>
      <c r="P265" s="8"/>
      <c r="Q265" s="8"/>
      <c r="R265" s="8"/>
      <c r="S265" s="8"/>
      <c r="T265" s="8"/>
      <c r="U265" s="18"/>
      <c r="V265" s="18"/>
      <c r="W265" s="18"/>
      <c r="X265" s="18"/>
      <c r="Y265" s="18"/>
      <c r="Z265" s="8"/>
      <c r="AA265" s="18"/>
      <c r="AB265" s="18"/>
      <c r="AC265" s="8">
        <f t="shared" si="12"/>
        <v>0</v>
      </c>
      <c r="AD265" s="18"/>
      <c r="AE265" s="18"/>
      <c r="AF265" s="8"/>
      <c r="AG265" s="18"/>
      <c r="AH265" s="8"/>
      <c r="AI265" s="8"/>
      <c r="AJ265" s="8"/>
      <c r="AK265" s="8">
        <f t="shared" si="13"/>
        <v>0</v>
      </c>
      <c r="AL265" s="8">
        <f t="shared" si="14"/>
        <v>0</v>
      </c>
      <c r="AM265" s="9"/>
    </row>
    <row r="266" spans="1:39" ht="24.95" customHeight="1">
      <c r="A266" s="17" t="s">
        <v>303</v>
      </c>
      <c r="B266" s="8">
        <v>0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8"/>
      <c r="N266" s="8"/>
      <c r="O266" s="8"/>
      <c r="P266" s="8"/>
      <c r="Q266" s="8"/>
      <c r="R266" s="8"/>
      <c r="S266" s="8"/>
      <c r="T266" s="8"/>
      <c r="U266" s="18"/>
      <c r="V266" s="18"/>
      <c r="W266" s="18"/>
      <c r="X266" s="18"/>
      <c r="Y266" s="18"/>
      <c r="Z266" s="8"/>
      <c r="AA266" s="18"/>
      <c r="AB266" s="18"/>
      <c r="AC266" s="8">
        <f t="shared" si="12"/>
        <v>0</v>
      </c>
      <c r="AD266" s="18"/>
      <c r="AE266" s="18"/>
      <c r="AF266" s="8"/>
      <c r="AG266" s="18"/>
      <c r="AH266" s="8"/>
      <c r="AI266" s="8"/>
      <c r="AJ266" s="8"/>
      <c r="AK266" s="8">
        <f t="shared" si="13"/>
        <v>0</v>
      </c>
      <c r="AL266" s="8">
        <f t="shared" si="14"/>
        <v>0</v>
      </c>
      <c r="AM266" s="9"/>
    </row>
    <row r="267" spans="1:39" ht="24.95" customHeight="1">
      <c r="A267" s="10" t="s">
        <v>304</v>
      </c>
      <c r="B267" s="8">
        <v>1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8"/>
      <c r="N267" s="8"/>
      <c r="O267" s="8"/>
      <c r="P267" s="8"/>
      <c r="Q267" s="8"/>
      <c r="R267" s="8"/>
      <c r="S267" s="8"/>
      <c r="T267" s="8"/>
      <c r="U267" s="18"/>
      <c r="V267" s="18"/>
      <c r="W267" s="18"/>
      <c r="X267" s="18"/>
      <c r="Y267" s="18"/>
      <c r="Z267" s="8"/>
      <c r="AA267" s="18">
        <f>+(Z268*2)+(Z269*3)</f>
        <v>0</v>
      </c>
      <c r="AB267" s="18"/>
      <c r="AC267" s="8">
        <f t="shared" si="12"/>
        <v>0</v>
      </c>
      <c r="AD267" s="18"/>
      <c r="AE267" s="18"/>
      <c r="AF267" s="8"/>
      <c r="AG267" s="18"/>
      <c r="AH267" s="8"/>
      <c r="AI267" s="8"/>
      <c r="AJ267" s="8"/>
      <c r="AK267" s="8">
        <f t="shared" si="13"/>
        <v>0</v>
      </c>
      <c r="AL267" s="8">
        <f t="shared" si="14"/>
        <v>1</v>
      </c>
      <c r="AM267" s="9"/>
    </row>
    <row r="268" spans="1:39" ht="24.95" customHeight="1">
      <c r="A268" s="10" t="s">
        <v>305</v>
      </c>
      <c r="B268" s="8">
        <v>0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8"/>
      <c r="N268" s="8"/>
      <c r="O268" s="8"/>
      <c r="P268" s="8"/>
      <c r="Q268" s="8"/>
      <c r="R268" s="8"/>
      <c r="S268" s="8"/>
      <c r="T268" s="8"/>
      <c r="U268" s="18"/>
      <c r="V268" s="18"/>
      <c r="W268" s="18"/>
      <c r="X268" s="18"/>
      <c r="Y268" s="18"/>
      <c r="Z268" s="8"/>
      <c r="AA268" s="18"/>
      <c r="AB268" s="18"/>
      <c r="AC268" s="8">
        <f t="shared" si="12"/>
        <v>0</v>
      </c>
      <c r="AD268" s="18"/>
      <c r="AE268" s="18"/>
      <c r="AF268" s="8"/>
      <c r="AG268" s="18"/>
      <c r="AH268" s="8"/>
      <c r="AI268" s="8"/>
      <c r="AJ268" s="8"/>
      <c r="AK268" s="8">
        <f t="shared" si="13"/>
        <v>0</v>
      </c>
      <c r="AL268" s="8">
        <f t="shared" si="14"/>
        <v>0</v>
      </c>
      <c r="AM268" s="9"/>
    </row>
    <row r="269" spans="1:39" ht="24.95" customHeight="1">
      <c r="A269" s="10" t="s">
        <v>306</v>
      </c>
      <c r="B269" s="8">
        <v>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8"/>
      <c r="N269" s="8"/>
      <c r="O269" s="8"/>
      <c r="P269" s="8"/>
      <c r="Q269" s="8"/>
      <c r="R269" s="8"/>
      <c r="S269" s="8"/>
      <c r="T269" s="8"/>
      <c r="U269" s="18"/>
      <c r="V269" s="18"/>
      <c r="W269" s="18"/>
      <c r="X269" s="18"/>
      <c r="Y269" s="18"/>
      <c r="Z269" s="8"/>
      <c r="AA269" s="18"/>
      <c r="AB269" s="18"/>
      <c r="AC269" s="8">
        <f t="shared" si="12"/>
        <v>0</v>
      </c>
      <c r="AD269" s="18"/>
      <c r="AE269" s="18"/>
      <c r="AF269" s="8"/>
      <c r="AG269" s="18"/>
      <c r="AH269" s="8"/>
      <c r="AI269" s="8"/>
      <c r="AJ269" s="8"/>
      <c r="AK269" s="8">
        <f t="shared" si="13"/>
        <v>0</v>
      </c>
      <c r="AL269" s="8">
        <f t="shared" si="14"/>
        <v>1</v>
      </c>
      <c r="AM269" s="9"/>
    </row>
    <row r="270" spans="1:39" ht="24.95" customHeight="1">
      <c r="A270" s="10" t="s">
        <v>307</v>
      </c>
      <c r="B270" s="8">
        <v>0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8"/>
      <c r="N270" s="8"/>
      <c r="O270" s="8"/>
      <c r="P270" s="8"/>
      <c r="Q270" s="8"/>
      <c r="R270" s="8"/>
      <c r="S270" s="8"/>
      <c r="T270" s="8"/>
      <c r="U270" s="18"/>
      <c r="V270" s="18"/>
      <c r="W270" s="18"/>
      <c r="X270" s="18"/>
      <c r="Y270" s="18"/>
      <c r="Z270" s="8"/>
      <c r="AA270" s="18"/>
      <c r="AB270" s="18"/>
      <c r="AC270" s="8">
        <f t="shared" si="12"/>
        <v>0</v>
      </c>
      <c r="AD270" s="18"/>
      <c r="AE270" s="18"/>
      <c r="AF270" s="8"/>
      <c r="AG270" s="18"/>
      <c r="AH270" s="8"/>
      <c r="AI270" s="8"/>
      <c r="AJ270" s="8"/>
      <c r="AK270" s="8">
        <f t="shared" si="13"/>
        <v>0</v>
      </c>
      <c r="AL270" s="8">
        <f t="shared" si="14"/>
        <v>0</v>
      </c>
      <c r="AM270" s="9"/>
    </row>
    <row r="271" spans="1:39" ht="24.95" customHeight="1">
      <c r="A271" s="10" t="s">
        <v>308</v>
      </c>
      <c r="B271" s="8">
        <v>0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8"/>
      <c r="N271" s="8"/>
      <c r="O271" s="8"/>
      <c r="P271" s="8"/>
      <c r="Q271" s="8"/>
      <c r="R271" s="8"/>
      <c r="S271" s="8"/>
      <c r="T271" s="8"/>
      <c r="U271" s="18"/>
      <c r="V271" s="18"/>
      <c r="W271" s="18"/>
      <c r="X271" s="18"/>
      <c r="Y271" s="18"/>
      <c r="Z271" s="8"/>
      <c r="AA271" s="18"/>
      <c r="AB271" s="18"/>
      <c r="AC271" s="8">
        <f t="shared" si="12"/>
        <v>0</v>
      </c>
      <c r="AD271" s="18"/>
      <c r="AE271" s="18"/>
      <c r="AF271" s="8"/>
      <c r="AG271" s="18"/>
      <c r="AH271" s="8"/>
      <c r="AI271" s="8"/>
      <c r="AJ271" s="8"/>
      <c r="AK271" s="8">
        <f t="shared" si="13"/>
        <v>0</v>
      </c>
      <c r="AL271" s="8">
        <f t="shared" si="14"/>
        <v>0</v>
      </c>
      <c r="AM271" s="9"/>
    </row>
    <row r="272" spans="1:39" ht="24.95" customHeight="1">
      <c r="A272" s="17" t="s">
        <v>309</v>
      </c>
      <c r="B272" s="8">
        <v>5836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8"/>
      <c r="N272" s="8"/>
      <c r="O272" s="8"/>
      <c r="P272" s="8"/>
      <c r="Q272" s="8"/>
      <c r="R272" s="8"/>
      <c r="S272" s="8"/>
      <c r="T272" s="8"/>
      <c r="U272" s="18"/>
      <c r="V272" s="18"/>
      <c r="W272" s="18"/>
      <c r="X272" s="18"/>
      <c r="Y272" s="18"/>
      <c r="Z272" s="8"/>
      <c r="AA272" s="18">
        <f>+(Z273*2)+(Z274*3)</f>
        <v>0</v>
      </c>
      <c r="AB272" s="18"/>
      <c r="AC272" s="8">
        <f t="shared" si="12"/>
        <v>0</v>
      </c>
      <c r="AD272" s="18"/>
      <c r="AE272" s="18"/>
      <c r="AF272" s="8"/>
      <c r="AG272" s="18"/>
      <c r="AH272" s="8"/>
      <c r="AI272" s="8"/>
      <c r="AJ272" s="8"/>
      <c r="AK272" s="8">
        <f t="shared" si="13"/>
        <v>0</v>
      </c>
      <c r="AL272" s="8">
        <f t="shared" si="14"/>
        <v>5836</v>
      </c>
      <c r="AM272" s="9"/>
    </row>
    <row r="273" spans="1:39" ht="24.95" customHeight="1">
      <c r="A273" s="17" t="s">
        <v>310</v>
      </c>
      <c r="B273" s="8">
        <v>3152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8"/>
      <c r="N273" s="8"/>
      <c r="O273" s="8"/>
      <c r="P273" s="8"/>
      <c r="Q273" s="8"/>
      <c r="R273" s="8"/>
      <c r="S273" s="8"/>
      <c r="T273" s="8"/>
      <c r="U273" s="18"/>
      <c r="V273" s="18"/>
      <c r="W273" s="18"/>
      <c r="X273" s="18"/>
      <c r="Y273" s="18"/>
      <c r="Z273" s="8"/>
      <c r="AA273" s="18"/>
      <c r="AB273" s="18"/>
      <c r="AC273" s="8">
        <f t="shared" si="12"/>
        <v>0</v>
      </c>
      <c r="AD273" s="18"/>
      <c r="AE273" s="18"/>
      <c r="AF273" s="8"/>
      <c r="AG273" s="18"/>
      <c r="AH273" s="8"/>
      <c r="AI273" s="8"/>
      <c r="AJ273" s="8"/>
      <c r="AK273" s="8">
        <f t="shared" si="13"/>
        <v>0</v>
      </c>
      <c r="AL273" s="8">
        <f t="shared" si="14"/>
        <v>3152</v>
      </c>
      <c r="AM273" s="9"/>
    </row>
    <row r="274" spans="1:39" ht="24.95" customHeight="1">
      <c r="A274" s="17" t="s">
        <v>311</v>
      </c>
      <c r="B274" s="8">
        <v>0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8"/>
      <c r="N274" s="8"/>
      <c r="O274" s="8"/>
      <c r="P274" s="8"/>
      <c r="Q274" s="8"/>
      <c r="R274" s="8"/>
      <c r="S274" s="8"/>
      <c r="T274" s="8"/>
      <c r="U274" s="18"/>
      <c r="V274" s="18"/>
      <c r="W274" s="18"/>
      <c r="X274" s="18"/>
      <c r="Y274" s="18"/>
      <c r="Z274" s="8"/>
      <c r="AA274" s="18"/>
      <c r="AB274" s="18"/>
      <c r="AC274" s="8">
        <f t="shared" si="12"/>
        <v>0</v>
      </c>
      <c r="AD274" s="18"/>
      <c r="AE274" s="18"/>
      <c r="AF274" s="8"/>
      <c r="AG274" s="18"/>
      <c r="AH274" s="8"/>
      <c r="AI274" s="8"/>
      <c r="AJ274" s="8"/>
      <c r="AK274" s="8">
        <f t="shared" si="13"/>
        <v>0</v>
      </c>
      <c r="AL274" s="8">
        <f t="shared" si="14"/>
        <v>0</v>
      </c>
      <c r="AM274" s="9"/>
    </row>
    <row r="275" spans="1:39" ht="24.95" customHeight="1">
      <c r="A275" s="17" t="s">
        <v>312</v>
      </c>
      <c r="B275" s="8">
        <v>1397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8"/>
      <c r="N275" s="8"/>
      <c r="O275" s="8"/>
      <c r="P275" s="8"/>
      <c r="Q275" s="8"/>
      <c r="R275" s="8"/>
      <c r="S275" s="8"/>
      <c r="T275" s="8"/>
      <c r="U275" s="18"/>
      <c r="V275" s="18"/>
      <c r="W275" s="18"/>
      <c r="X275" s="18"/>
      <c r="Y275" s="18"/>
      <c r="Z275" s="8"/>
      <c r="AA275" s="18">
        <f>+(Z276*2)+(Z277*3)</f>
        <v>0</v>
      </c>
      <c r="AB275" s="18"/>
      <c r="AC275" s="8">
        <f t="shared" si="12"/>
        <v>0</v>
      </c>
      <c r="AD275" s="18"/>
      <c r="AE275" s="18"/>
      <c r="AF275" s="8"/>
      <c r="AG275" s="18"/>
      <c r="AH275" s="8"/>
      <c r="AI275" s="8"/>
      <c r="AJ275" s="8"/>
      <c r="AK275" s="8">
        <f t="shared" si="13"/>
        <v>0</v>
      </c>
      <c r="AL275" s="8">
        <f t="shared" si="14"/>
        <v>1397</v>
      </c>
      <c r="AM275" s="9"/>
    </row>
    <row r="276" spans="1:39" ht="24.95" customHeight="1">
      <c r="A276" s="17" t="s">
        <v>313</v>
      </c>
      <c r="B276" s="8">
        <v>0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8"/>
      <c r="N276" s="8"/>
      <c r="O276" s="8"/>
      <c r="P276" s="8"/>
      <c r="Q276" s="8"/>
      <c r="R276" s="8"/>
      <c r="S276" s="8"/>
      <c r="T276" s="8"/>
      <c r="U276" s="18"/>
      <c r="V276" s="18"/>
      <c r="W276" s="18"/>
      <c r="X276" s="18"/>
      <c r="Y276" s="18"/>
      <c r="Z276" s="8"/>
      <c r="AA276" s="18"/>
      <c r="AB276" s="18"/>
      <c r="AC276" s="8">
        <f t="shared" si="12"/>
        <v>0</v>
      </c>
      <c r="AD276" s="18"/>
      <c r="AE276" s="18"/>
      <c r="AF276" s="8"/>
      <c r="AG276" s="18"/>
      <c r="AH276" s="8"/>
      <c r="AI276" s="8"/>
      <c r="AJ276" s="8"/>
      <c r="AK276" s="8">
        <f t="shared" si="13"/>
        <v>0</v>
      </c>
      <c r="AL276" s="8">
        <f t="shared" si="14"/>
        <v>0</v>
      </c>
      <c r="AM276" s="9"/>
    </row>
    <row r="277" spans="1:39" ht="24.95" customHeight="1">
      <c r="A277" s="17" t="s">
        <v>314</v>
      </c>
      <c r="B277" s="8">
        <v>0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8"/>
      <c r="N277" s="8"/>
      <c r="O277" s="8"/>
      <c r="P277" s="8"/>
      <c r="Q277" s="8"/>
      <c r="R277" s="8"/>
      <c r="S277" s="8"/>
      <c r="T277" s="8"/>
      <c r="U277" s="18"/>
      <c r="V277" s="18"/>
      <c r="W277" s="18"/>
      <c r="X277" s="18"/>
      <c r="Y277" s="18"/>
      <c r="Z277" s="8"/>
      <c r="AA277" s="18"/>
      <c r="AB277" s="18"/>
      <c r="AC277" s="8">
        <f t="shared" si="12"/>
        <v>0</v>
      </c>
      <c r="AD277" s="18"/>
      <c r="AE277" s="18"/>
      <c r="AF277" s="8"/>
      <c r="AG277" s="18"/>
      <c r="AH277" s="8"/>
      <c r="AI277" s="8"/>
      <c r="AJ277" s="8"/>
      <c r="AK277" s="8">
        <f t="shared" si="13"/>
        <v>0</v>
      </c>
      <c r="AL277" s="8">
        <f t="shared" si="14"/>
        <v>0</v>
      </c>
      <c r="AM277" s="9"/>
    </row>
    <row r="278" spans="1:39" ht="24.95" customHeight="1">
      <c r="A278" s="10" t="s">
        <v>315</v>
      </c>
      <c r="B278" s="8">
        <v>6859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8"/>
      <c r="N278" s="8"/>
      <c r="O278" s="8"/>
      <c r="P278" s="8"/>
      <c r="Q278" s="8"/>
      <c r="R278" s="8"/>
      <c r="S278" s="8"/>
      <c r="T278" s="8"/>
      <c r="U278" s="18"/>
      <c r="V278" s="18"/>
      <c r="W278" s="18"/>
      <c r="X278" s="18"/>
      <c r="Y278" s="18"/>
      <c r="Z278" s="8"/>
      <c r="AA278" s="18">
        <f>+Z279*2</f>
        <v>0</v>
      </c>
      <c r="AB278" s="18"/>
      <c r="AC278" s="8">
        <f t="shared" si="12"/>
        <v>0</v>
      </c>
      <c r="AD278" s="18"/>
      <c r="AE278" s="18"/>
      <c r="AF278" s="8"/>
      <c r="AG278" s="18"/>
      <c r="AH278" s="8"/>
      <c r="AI278" s="8"/>
      <c r="AJ278" s="8"/>
      <c r="AK278" s="8">
        <f t="shared" si="13"/>
        <v>0</v>
      </c>
      <c r="AL278" s="8">
        <f t="shared" si="14"/>
        <v>6859</v>
      </c>
      <c r="AM278" s="9"/>
    </row>
    <row r="279" spans="1:39" ht="24.95" customHeight="1">
      <c r="A279" s="10" t="s">
        <v>316</v>
      </c>
      <c r="B279" s="8">
        <v>0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8"/>
      <c r="N279" s="8"/>
      <c r="O279" s="8"/>
      <c r="P279" s="8"/>
      <c r="Q279" s="8"/>
      <c r="R279" s="8"/>
      <c r="S279" s="8"/>
      <c r="T279" s="8"/>
      <c r="U279" s="18"/>
      <c r="V279" s="18"/>
      <c r="W279" s="18"/>
      <c r="X279" s="18"/>
      <c r="Y279" s="18"/>
      <c r="Z279" s="8"/>
      <c r="AA279" s="18"/>
      <c r="AB279" s="18"/>
      <c r="AC279" s="8">
        <f t="shared" si="12"/>
        <v>0</v>
      </c>
      <c r="AD279" s="18"/>
      <c r="AE279" s="18"/>
      <c r="AF279" s="8"/>
      <c r="AG279" s="18"/>
      <c r="AH279" s="8"/>
      <c r="AI279" s="8"/>
      <c r="AJ279" s="8"/>
      <c r="AK279" s="8">
        <f t="shared" si="13"/>
        <v>0</v>
      </c>
      <c r="AL279" s="8">
        <f t="shared" si="14"/>
        <v>0</v>
      </c>
      <c r="AM279" s="9"/>
    </row>
    <row r="280" spans="1:39" ht="24.95" customHeight="1">
      <c r="A280" s="10" t="s">
        <v>317</v>
      </c>
      <c r="B280" s="8">
        <v>0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8"/>
      <c r="N280" s="8"/>
      <c r="O280" s="8"/>
      <c r="P280" s="8"/>
      <c r="Q280" s="8"/>
      <c r="R280" s="8"/>
      <c r="S280" s="8"/>
      <c r="T280" s="8"/>
      <c r="U280" s="18"/>
      <c r="V280" s="18"/>
      <c r="W280" s="18"/>
      <c r="X280" s="18"/>
      <c r="Y280" s="18"/>
      <c r="Z280" s="8"/>
      <c r="AA280" s="18"/>
      <c r="AB280" s="18"/>
      <c r="AC280" s="8">
        <f t="shared" si="12"/>
        <v>0</v>
      </c>
      <c r="AD280" s="18"/>
      <c r="AE280" s="18"/>
      <c r="AF280" s="8"/>
      <c r="AG280" s="18"/>
      <c r="AH280" s="8"/>
      <c r="AI280" s="8"/>
      <c r="AJ280" s="8"/>
      <c r="AK280" s="8">
        <f t="shared" si="13"/>
        <v>0</v>
      </c>
      <c r="AL280" s="8">
        <f t="shared" si="14"/>
        <v>0</v>
      </c>
      <c r="AM280" s="9"/>
    </row>
    <row r="281" spans="1:39" ht="24.95" customHeight="1">
      <c r="A281" s="10" t="s">
        <v>318</v>
      </c>
      <c r="B281" s="8">
        <v>0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8"/>
      <c r="N281" s="8"/>
      <c r="O281" s="8"/>
      <c r="P281" s="8"/>
      <c r="Q281" s="8"/>
      <c r="R281" s="8"/>
      <c r="S281" s="8"/>
      <c r="T281" s="8"/>
      <c r="U281" s="18"/>
      <c r="V281" s="18"/>
      <c r="W281" s="18"/>
      <c r="X281" s="18"/>
      <c r="Y281" s="18"/>
      <c r="Z281" s="8"/>
      <c r="AA281" s="18"/>
      <c r="AB281" s="18"/>
      <c r="AC281" s="8">
        <f t="shared" si="12"/>
        <v>0</v>
      </c>
      <c r="AD281" s="18"/>
      <c r="AE281" s="18"/>
      <c r="AF281" s="8"/>
      <c r="AG281" s="18"/>
      <c r="AH281" s="8"/>
      <c r="AI281" s="8"/>
      <c r="AJ281" s="8"/>
      <c r="AK281" s="8">
        <f t="shared" si="13"/>
        <v>0</v>
      </c>
      <c r="AL281" s="8">
        <f t="shared" si="14"/>
        <v>0</v>
      </c>
      <c r="AM281" s="9"/>
    </row>
    <row r="282" spans="1:39" ht="24.95" customHeight="1">
      <c r="A282" s="10" t="s">
        <v>319</v>
      </c>
      <c r="B282" s="8">
        <v>1696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8"/>
      <c r="N282" s="8"/>
      <c r="O282" s="8"/>
      <c r="P282" s="8"/>
      <c r="Q282" s="8"/>
      <c r="R282" s="8"/>
      <c r="S282" s="8"/>
      <c r="T282" s="8"/>
      <c r="U282" s="18"/>
      <c r="V282" s="18"/>
      <c r="W282" s="18"/>
      <c r="X282" s="18"/>
      <c r="Y282" s="18"/>
      <c r="Z282" s="8"/>
      <c r="AA282" s="18">
        <f>+Z283*2</f>
        <v>0</v>
      </c>
      <c r="AB282" s="18"/>
      <c r="AC282" s="8">
        <f t="shared" si="12"/>
        <v>0</v>
      </c>
      <c r="AD282" s="18"/>
      <c r="AE282" s="18"/>
      <c r="AF282" s="8"/>
      <c r="AG282" s="18"/>
      <c r="AH282" s="8"/>
      <c r="AI282" s="8"/>
      <c r="AJ282" s="8">
        <v>52</v>
      </c>
      <c r="AK282" s="8">
        <f t="shared" si="13"/>
        <v>-52</v>
      </c>
      <c r="AL282" s="8">
        <f t="shared" si="14"/>
        <v>1644</v>
      </c>
      <c r="AM282" s="11"/>
    </row>
    <row r="283" spans="1:39" ht="24.95" customHeight="1">
      <c r="A283" s="10" t="s">
        <v>320</v>
      </c>
      <c r="B283" s="8">
        <v>10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8"/>
      <c r="N283" s="8"/>
      <c r="O283" s="8"/>
      <c r="P283" s="8"/>
      <c r="Q283" s="8"/>
      <c r="R283" s="8"/>
      <c r="S283" s="8"/>
      <c r="T283" s="8"/>
      <c r="U283" s="18"/>
      <c r="V283" s="18"/>
      <c r="W283" s="18"/>
      <c r="X283" s="18"/>
      <c r="Y283" s="18"/>
      <c r="Z283" s="8"/>
      <c r="AA283" s="18"/>
      <c r="AB283" s="18"/>
      <c r="AC283" s="8">
        <f t="shared" si="12"/>
        <v>0</v>
      </c>
      <c r="AD283" s="18"/>
      <c r="AE283" s="18"/>
      <c r="AF283" s="8"/>
      <c r="AG283" s="18"/>
      <c r="AH283" s="8"/>
      <c r="AI283" s="8"/>
      <c r="AJ283" s="8"/>
      <c r="AK283" s="8">
        <f t="shared" si="13"/>
        <v>0</v>
      </c>
      <c r="AL283" s="8">
        <f t="shared" si="14"/>
        <v>10</v>
      </c>
      <c r="AM283" s="9"/>
    </row>
    <row r="284" spans="1:39" ht="24.95" customHeight="1">
      <c r="A284" s="10" t="s">
        <v>321</v>
      </c>
      <c r="B284" s="8">
        <v>0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8"/>
      <c r="N284" s="8"/>
      <c r="O284" s="8"/>
      <c r="P284" s="8"/>
      <c r="Q284" s="8"/>
      <c r="R284" s="8"/>
      <c r="S284" s="8"/>
      <c r="T284" s="8"/>
      <c r="U284" s="18"/>
      <c r="V284" s="18"/>
      <c r="W284" s="18"/>
      <c r="X284" s="18"/>
      <c r="Y284" s="18"/>
      <c r="Z284" s="8"/>
      <c r="AA284" s="18"/>
      <c r="AB284" s="18"/>
      <c r="AC284" s="8">
        <f t="shared" si="12"/>
        <v>0</v>
      </c>
      <c r="AD284" s="18"/>
      <c r="AE284" s="18"/>
      <c r="AF284" s="8"/>
      <c r="AG284" s="18"/>
      <c r="AH284" s="8"/>
      <c r="AI284" s="8"/>
      <c r="AJ284" s="8"/>
      <c r="AK284" s="8">
        <f t="shared" si="13"/>
        <v>0</v>
      </c>
      <c r="AL284" s="8">
        <f t="shared" si="14"/>
        <v>0</v>
      </c>
      <c r="AM284" s="9"/>
    </row>
    <row r="285" spans="1:39" ht="24.95" customHeight="1">
      <c r="A285" s="10" t="s">
        <v>322</v>
      </c>
      <c r="B285" s="8">
        <v>0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8"/>
      <c r="N285" s="8"/>
      <c r="O285" s="8"/>
      <c r="P285" s="8"/>
      <c r="Q285" s="8"/>
      <c r="R285" s="8"/>
      <c r="S285" s="8"/>
      <c r="T285" s="8"/>
      <c r="U285" s="18"/>
      <c r="V285" s="18"/>
      <c r="W285" s="18"/>
      <c r="X285" s="18"/>
      <c r="Y285" s="18"/>
      <c r="Z285" s="8"/>
      <c r="AA285" s="18"/>
      <c r="AB285" s="18"/>
      <c r="AC285" s="8">
        <f t="shared" si="12"/>
        <v>0</v>
      </c>
      <c r="AD285" s="18"/>
      <c r="AE285" s="18"/>
      <c r="AF285" s="8"/>
      <c r="AG285" s="18"/>
      <c r="AH285" s="8"/>
      <c r="AI285" s="8"/>
      <c r="AJ285" s="8"/>
      <c r="AK285" s="8">
        <f t="shared" si="13"/>
        <v>0</v>
      </c>
      <c r="AL285" s="8">
        <f t="shared" si="14"/>
        <v>0</v>
      </c>
      <c r="AM285" s="9"/>
    </row>
    <row r="286" spans="1:39" ht="24.95" customHeight="1">
      <c r="A286" s="10" t="s">
        <v>323</v>
      </c>
      <c r="B286" s="8">
        <v>0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8"/>
      <c r="N286" s="8"/>
      <c r="O286" s="8"/>
      <c r="P286" s="8"/>
      <c r="Q286" s="8"/>
      <c r="R286" s="8"/>
      <c r="S286" s="8"/>
      <c r="T286" s="8"/>
      <c r="U286" s="18"/>
      <c r="V286" s="18"/>
      <c r="W286" s="18"/>
      <c r="X286" s="18"/>
      <c r="Y286" s="18"/>
      <c r="Z286" s="8"/>
      <c r="AA286" s="18"/>
      <c r="AB286" s="18"/>
      <c r="AC286" s="8">
        <f t="shared" si="12"/>
        <v>0</v>
      </c>
      <c r="AD286" s="18"/>
      <c r="AE286" s="18"/>
      <c r="AF286" s="8"/>
      <c r="AG286" s="18"/>
      <c r="AH286" s="8"/>
      <c r="AI286" s="8"/>
      <c r="AJ286" s="8"/>
      <c r="AK286" s="8">
        <f t="shared" si="13"/>
        <v>0</v>
      </c>
      <c r="AL286" s="8">
        <f t="shared" si="14"/>
        <v>0</v>
      </c>
      <c r="AM286" s="9"/>
    </row>
    <row r="287" spans="1:39" ht="24.95" customHeight="1">
      <c r="A287" s="10" t="s">
        <v>324</v>
      </c>
      <c r="B287" s="8">
        <v>0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8"/>
      <c r="N287" s="8"/>
      <c r="O287" s="8"/>
      <c r="P287" s="8"/>
      <c r="Q287" s="8"/>
      <c r="R287" s="8"/>
      <c r="S287" s="8"/>
      <c r="T287" s="8"/>
      <c r="U287" s="18"/>
      <c r="V287" s="18"/>
      <c r="W287" s="18"/>
      <c r="X287" s="18"/>
      <c r="Y287" s="18"/>
      <c r="Z287" s="8"/>
      <c r="AA287" s="18"/>
      <c r="AB287" s="18"/>
      <c r="AC287" s="8">
        <f t="shared" si="12"/>
        <v>0</v>
      </c>
      <c r="AD287" s="18"/>
      <c r="AE287" s="18"/>
      <c r="AF287" s="8"/>
      <c r="AG287" s="18"/>
      <c r="AH287" s="8"/>
      <c r="AI287" s="8"/>
      <c r="AJ287" s="8"/>
      <c r="AK287" s="8">
        <f t="shared" si="13"/>
        <v>0</v>
      </c>
      <c r="AL287" s="8">
        <f t="shared" si="14"/>
        <v>0</v>
      </c>
      <c r="AM287" s="9"/>
    </row>
    <row r="288" spans="1:39" ht="24.95" customHeight="1">
      <c r="A288" s="10" t="s">
        <v>325</v>
      </c>
      <c r="B288" s="8">
        <v>4073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8"/>
      <c r="N288" s="8"/>
      <c r="O288" s="8"/>
      <c r="P288" s="8"/>
      <c r="Q288" s="8"/>
      <c r="R288" s="8"/>
      <c r="S288" s="8"/>
      <c r="T288" s="8"/>
      <c r="U288" s="18"/>
      <c r="V288" s="18"/>
      <c r="W288" s="18"/>
      <c r="X288" s="18"/>
      <c r="Y288" s="18"/>
      <c r="Z288" s="8"/>
      <c r="AA288" s="18">
        <f>+Z289*2</f>
        <v>0</v>
      </c>
      <c r="AB288" s="18"/>
      <c r="AC288" s="8">
        <f t="shared" si="12"/>
        <v>0</v>
      </c>
      <c r="AD288" s="18"/>
      <c r="AE288" s="18"/>
      <c r="AF288" s="8"/>
      <c r="AG288" s="18"/>
      <c r="AH288" s="8"/>
      <c r="AI288" s="8"/>
      <c r="AJ288" s="8"/>
      <c r="AK288" s="8">
        <f t="shared" si="13"/>
        <v>0</v>
      </c>
      <c r="AL288" s="8">
        <f t="shared" si="14"/>
        <v>4073</v>
      </c>
      <c r="AM288" s="9"/>
    </row>
    <row r="289" spans="1:39" ht="24.95" customHeight="1">
      <c r="A289" s="10" t="s">
        <v>326</v>
      </c>
      <c r="B289" s="8">
        <v>0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8"/>
      <c r="N289" s="8"/>
      <c r="O289" s="8"/>
      <c r="P289" s="8"/>
      <c r="Q289" s="8"/>
      <c r="R289" s="8"/>
      <c r="S289" s="8"/>
      <c r="T289" s="8"/>
      <c r="U289" s="18"/>
      <c r="V289" s="18"/>
      <c r="W289" s="18"/>
      <c r="X289" s="18"/>
      <c r="Y289" s="18"/>
      <c r="Z289" s="8"/>
      <c r="AA289" s="18"/>
      <c r="AB289" s="18"/>
      <c r="AC289" s="8">
        <f t="shared" si="12"/>
        <v>0</v>
      </c>
      <c r="AD289" s="18"/>
      <c r="AE289" s="18"/>
      <c r="AF289" s="8"/>
      <c r="AG289" s="18"/>
      <c r="AH289" s="8"/>
      <c r="AI289" s="8"/>
      <c r="AJ289" s="8"/>
      <c r="AK289" s="8">
        <f t="shared" si="13"/>
        <v>0</v>
      </c>
      <c r="AL289" s="8">
        <f t="shared" si="14"/>
        <v>0</v>
      </c>
      <c r="AM289" s="9"/>
    </row>
    <row r="290" spans="1:39" ht="24.95" customHeight="1">
      <c r="A290" s="10" t="s">
        <v>327</v>
      </c>
      <c r="B290" s="8">
        <v>0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8"/>
      <c r="N290" s="8"/>
      <c r="O290" s="8"/>
      <c r="P290" s="8"/>
      <c r="Q290" s="8"/>
      <c r="R290" s="8"/>
      <c r="S290" s="8"/>
      <c r="T290" s="8"/>
      <c r="U290" s="18"/>
      <c r="V290" s="18"/>
      <c r="W290" s="18"/>
      <c r="X290" s="18"/>
      <c r="Y290" s="18"/>
      <c r="Z290" s="8"/>
      <c r="AA290" s="18"/>
      <c r="AB290" s="18"/>
      <c r="AC290" s="8">
        <f t="shared" si="12"/>
        <v>0</v>
      </c>
      <c r="AD290" s="18"/>
      <c r="AE290" s="18"/>
      <c r="AF290" s="8"/>
      <c r="AG290" s="18"/>
      <c r="AH290" s="8"/>
      <c r="AI290" s="8"/>
      <c r="AJ290" s="8"/>
      <c r="AK290" s="8">
        <f t="shared" si="13"/>
        <v>0</v>
      </c>
      <c r="AL290" s="8">
        <f t="shared" si="14"/>
        <v>0</v>
      </c>
      <c r="AM290" s="9"/>
    </row>
    <row r="291" spans="1:39" ht="24.95" customHeight="1">
      <c r="A291" s="10" t="s">
        <v>328</v>
      </c>
      <c r="B291" s="8">
        <v>0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8"/>
      <c r="N291" s="8"/>
      <c r="O291" s="8"/>
      <c r="P291" s="8"/>
      <c r="Q291" s="8"/>
      <c r="R291" s="8"/>
      <c r="S291" s="8"/>
      <c r="T291" s="8"/>
      <c r="U291" s="18"/>
      <c r="V291" s="18"/>
      <c r="W291" s="18"/>
      <c r="X291" s="18"/>
      <c r="Y291" s="18"/>
      <c r="Z291" s="8"/>
      <c r="AA291" s="18"/>
      <c r="AB291" s="18"/>
      <c r="AC291" s="8">
        <f t="shared" ref="AC291:AC354" si="15">+AB291</f>
        <v>0</v>
      </c>
      <c r="AD291" s="18"/>
      <c r="AE291" s="18"/>
      <c r="AF291" s="8"/>
      <c r="AG291" s="18"/>
      <c r="AH291" s="8"/>
      <c r="AI291" s="8"/>
      <c r="AJ291" s="8"/>
      <c r="AK291" s="8">
        <f t="shared" si="13"/>
        <v>0</v>
      </c>
      <c r="AL291" s="8">
        <f t="shared" si="14"/>
        <v>0</v>
      </c>
      <c r="AM291" s="9"/>
    </row>
    <row r="292" spans="1:39" ht="24.95" customHeight="1">
      <c r="A292" s="10" t="s">
        <v>329</v>
      </c>
      <c r="B292" s="8">
        <v>2458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8"/>
      <c r="N292" s="8"/>
      <c r="O292" s="8"/>
      <c r="P292" s="8"/>
      <c r="Q292" s="8"/>
      <c r="R292" s="8"/>
      <c r="S292" s="8"/>
      <c r="T292" s="8"/>
      <c r="U292" s="18"/>
      <c r="V292" s="18"/>
      <c r="W292" s="18"/>
      <c r="X292" s="18">
        <f>+Y293*2</f>
        <v>0</v>
      </c>
      <c r="Y292" s="18"/>
      <c r="Z292" s="8"/>
      <c r="AA292" s="18">
        <f>+Z293*2</f>
        <v>0</v>
      </c>
      <c r="AB292" s="18"/>
      <c r="AC292" s="8">
        <f t="shared" si="15"/>
        <v>0</v>
      </c>
      <c r="AD292" s="18"/>
      <c r="AE292" s="18"/>
      <c r="AF292" s="8"/>
      <c r="AG292" s="18"/>
      <c r="AH292" s="8"/>
      <c r="AI292" s="8"/>
      <c r="AJ292" s="8">
        <v>19</v>
      </c>
      <c r="AK292" s="8">
        <f t="shared" si="13"/>
        <v>-19</v>
      </c>
      <c r="AL292" s="8">
        <f t="shared" si="14"/>
        <v>2439</v>
      </c>
      <c r="AM292" s="9"/>
    </row>
    <row r="293" spans="1:39" ht="24.95" customHeight="1">
      <c r="A293" s="10" t="s">
        <v>330</v>
      </c>
      <c r="B293" s="8">
        <v>2909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8"/>
      <c r="N293" s="8"/>
      <c r="O293" s="8"/>
      <c r="P293" s="8"/>
      <c r="Q293" s="8"/>
      <c r="R293" s="8"/>
      <c r="S293" s="8"/>
      <c r="T293" s="8"/>
      <c r="U293" s="18"/>
      <c r="V293" s="18"/>
      <c r="W293" s="18"/>
      <c r="X293" s="18"/>
      <c r="Y293" s="18"/>
      <c r="Z293" s="8"/>
      <c r="AA293" s="18"/>
      <c r="AB293" s="18"/>
      <c r="AC293" s="8">
        <f t="shared" si="15"/>
        <v>0</v>
      </c>
      <c r="AD293" s="18"/>
      <c r="AE293" s="18"/>
      <c r="AF293" s="8"/>
      <c r="AG293" s="18"/>
      <c r="AH293" s="8"/>
      <c r="AI293" s="8"/>
      <c r="AJ293" s="8"/>
      <c r="AK293" s="8">
        <f t="shared" si="13"/>
        <v>0</v>
      </c>
      <c r="AL293" s="8">
        <f t="shared" si="14"/>
        <v>2909</v>
      </c>
      <c r="AM293" s="11"/>
    </row>
    <row r="294" spans="1:39" ht="24.95" customHeight="1">
      <c r="A294" s="10" t="s">
        <v>331</v>
      </c>
      <c r="B294" s="8">
        <v>0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8"/>
      <c r="N294" s="8"/>
      <c r="O294" s="8"/>
      <c r="P294" s="8"/>
      <c r="Q294" s="8"/>
      <c r="R294" s="8"/>
      <c r="S294" s="8"/>
      <c r="T294" s="8"/>
      <c r="U294" s="18"/>
      <c r="V294" s="18"/>
      <c r="W294" s="18"/>
      <c r="X294" s="18"/>
      <c r="Y294" s="18"/>
      <c r="Z294" s="8"/>
      <c r="AA294" s="18">
        <f>+Z295*2</f>
        <v>0</v>
      </c>
      <c r="AB294" s="18"/>
      <c r="AC294" s="8">
        <f t="shared" si="15"/>
        <v>0</v>
      </c>
      <c r="AD294" s="18"/>
      <c r="AE294" s="18"/>
      <c r="AF294" s="8"/>
      <c r="AG294" s="18"/>
      <c r="AH294" s="8"/>
      <c r="AI294" s="8"/>
      <c r="AJ294" s="8"/>
      <c r="AK294" s="8">
        <f t="shared" si="13"/>
        <v>0</v>
      </c>
      <c r="AL294" s="8">
        <f t="shared" si="14"/>
        <v>0</v>
      </c>
      <c r="AM294" s="9"/>
    </row>
    <row r="295" spans="1:39" ht="24.95" customHeight="1">
      <c r="A295" s="10" t="s">
        <v>332</v>
      </c>
      <c r="B295" s="8">
        <v>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8"/>
      <c r="N295" s="8"/>
      <c r="O295" s="8"/>
      <c r="P295" s="8"/>
      <c r="Q295" s="8"/>
      <c r="R295" s="8"/>
      <c r="S295" s="8"/>
      <c r="T295" s="8"/>
      <c r="U295" s="18"/>
      <c r="V295" s="18"/>
      <c r="W295" s="18"/>
      <c r="X295" s="18"/>
      <c r="Y295" s="18"/>
      <c r="Z295" s="8"/>
      <c r="AA295" s="18"/>
      <c r="AB295" s="18"/>
      <c r="AC295" s="8">
        <f t="shared" si="15"/>
        <v>0</v>
      </c>
      <c r="AD295" s="18"/>
      <c r="AE295" s="18"/>
      <c r="AF295" s="8"/>
      <c r="AG295" s="18"/>
      <c r="AH295" s="8"/>
      <c r="AI295" s="8"/>
      <c r="AJ295" s="8"/>
      <c r="AK295" s="8">
        <f t="shared" si="13"/>
        <v>0</v>
      </c>
      <c r="AL295" s="8">
        <f t="shared" si="14"/>
        <v>0</v>
      </c>
      <c r="AM295" s="9"/>
    </row>
    <row r="296" spans="1:39" ht="24.95" customHeight="1">
      <c r="A296" s="10" t="s">
        <v>333</v>
      </c>
      <c r="B296" s="8">
        <v>0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8"/>
      <c r="N296" s="8"/>
      <c r="O296" s="8"/>
      <c r="P296" s="8"/>
      <c r="Q296" s="8"/>
      <c r="R296" s="8"/>
      <c r="S296" s="8"/>
      <c r="T296" s="8"/>
      <c r="U296" s="18"/>
      <c r="V296" s="18"/>
      <c r="W296" s="18"/>
      <c r="X296" s="18"/>
      <c r="Y296" s="18"/>
      <c r="Z296" s="8"/>
      <c r="AA296" s="18"/>
      <c r="AB296" s="18"/>
      <c r="AC296" s="8">
        <f t="shared" si="15"/>
        <v>0</v>
      </c>
      <c r="AD296" s="18"/>
      <c r="AE296" s="18">
        <f>+AD298</f>
        <v>0</v>
      </c>
      <c r="AF296" s="8"/>
      <c r="AG296" s="18"/>
      <c r="AH296" s="8"/>
      <c r="AI296" s="8"/>
      <c r="AJ296" s="8"/>
      <c r="AK296" s="8">
        <f t="shared" si="13"/>
        <v>0</v>
      </c>
      <c r="AL296" s="8">
        <f t="shared" si="14"/>
        <v>0</v>
      </c>
      <c r="AM296" s="9"/>
    </row>
    <row r="297" spans="1:39" ht="24.95" customHeight="1">
      <c r="A297" s="10" t="s">
        <v>334</v>
      </c>
      <c r="B297" s="8">
        <v>0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8"/>
      <c r="N297" s="8"/>
      <c r="O297" s="8"/>
      <c r="P297" s="8"/>
      <c r="Q297" s="8"/>
      <c r="R297" s="8"/>
      <c r="S297" s="8"/>
      <c r="T297" s="8"/>
      <c r="U297" s="18"/>
      <c r="V297" s="18"/>
      <c r="W297" s="18"/>
      <c r="X297" s="18"/>
      <c r="Y297" s="18"/>
      <c r="Z297" s="8"/>
      <c r="AA297" s="18"/>
      <c r="AB297" s="18"/>
      <c r="AC297" s="8">
        <f t="shared" si="15"/>
        <v>0</v>
      </c>
      <c r="AD297" s="18"/>
      <c r="AE297" s="18">
        <f>+AD299</f>
        <v>0</v>
      </c>
      <c r="AF297" s="8"/>
      <c r="AG297" s="18"/>
      <c r="AH297" s="8"/>
      <c r="AI297" s="8"/>
      <c r="AJ297" s="8"/>
      <c r="AK297" s="8">
        <f t="shared" si="13"/>
        <v>0</v>
      </c>
      <c r="AL297" s="8">
        <f t="shared" si="14"/>
        <v>0</v>
      </c>
      <c r="AM297" s="9"/>
    </row>
    <row r="298" spans="1:39" ht="24.95" customHeight="1">
      <c r="A298" s="10" t="s">
        <v>335</v>
      </c>
      <c r="B298" s="8">
        <v>0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8"/>
      <c r="N298" s="8"/>
      <c r="O298" s="8"/>
      <c r="P298" s="8"/>
      <c r="Q298" s="8"/>
      <c r="R298" s="8"/>
      <c r="S298" s="8"/>
      <c r="T298" s="8"/>
      <c r="U298" s="18"/>
      <c r="V298" s="18"/>
      <c r="W298" s="18"/>
      <c r="X298" s="18"/>
      <c r="Y298" s="18"/>
      <c r="Z298" s="8"/>
      <c r="AA298" s="18"/>
      <c r="AB298" s="18"/>
      <c r="AC298" s="8">
        <f t="shared" si="15"/>
        <v>0</v>
      </c>
      <c r="AD298" s="18"/>
      <c r="AE298" s="18"/>
      <c r="AF298" s="8"/>
      <c r="AG298" s="18"/>
      <c r="AH298" s="8"/>
      <c r="AI298" s="8"/>
      <c r="AJ298" s="8"/>
      <c r="AK298" s="8">
        <f t="shared" si="13"/>
        <v>0</v>
      </c>
      <c r="AL298" s="8">
        <f t="shared" si="14"/>
        <v>0</v>
      </c>
      <c r="AM298" s="9"/>
    </row>
    <row r="299" spans="1:39" ht="24.95" customHeight="1">
      <c r="A299" s="10" t="s">
        <v>336</v>
      </c>
      <c r="B299" s="8">
        <v>0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8"/>
      <c r="N299" s="8"/>
      <c r="O299" s="8"/>
      <c r="P299" s="8"/>
      <c r="Q299" s="8"/>
      <c r="R299" s="8"/>
      <c r="S299" s="8"/>
      <c r="T299" s="8"/>
      <c r="U299" s="18"/>
      <c r="V299" s="18"/>
      <c r="W299" s="18"/>
      <c r="X299" s="18"/>
      <c r="Y299" s="18"/>
      <c r="Z299" s="8"/>
      <c r="AA299" s="18"/>
      <c r="AB299" s="18"/>
      <c r="AC299" s="8">
        <f t="shared" si="15"/>
        <v>0</v>
      </c>
      <c r="AD299" s="18"/>
      <c r="AE299" s="18"/>
      <c r="AF299" s="8"/>
      <c r="AG299" s="18"/>
      <c r="AH299" s="8"/>
      <c r="AI299" s="8"/>
      <c r="AJ299" s="8"/>
      <c r="AK299" s="8">
        <f t="shared" si="13"/>
        <v>0</v>
      </c>
      <c r="AL299" s="8">
        <f t="shared" si="14"/>
        <v>0</v>
      </c>
      <c r="AM299" s="9"/>
    </row>
    <row r="300" spans="1:39" ht="24.95" customHeight="1">
      <c r="A300" s="10" t="s">
        <v>337</v>
      </c>
      <c r="B300" s="8">
        <v>0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8"/>
      <c r="N300" s="8"/>
      <c r="O300" s="8"/>
      <c r="P300" s="8"/>
      <c r="Q300" s="8"/>
      <c r="R300" s="8"/>
      <c r="S300" s="8"/>
      <c r="T300" s="8"/>
      <c r="U300" s="18"/>
      <c r="V300" s="18"/>
      <c r="W300" s="18"/>
      <c r="X300" s="18"/>
      <c r="Y300" s="18"/>
      <c r="Z300" s="8"/>
      <c r="AA300" s="18">
        <f>+Z303*2</f>
        <v>0</v>
      </c>
      <c r="AB300" s="18"/>
      <c r="AC300" s="8">
        <f t="shared" si="15"/>
        <v>0</v>
      </c>
      <c r="AD300" s="18"/>
      <c r="AE300" s="18">
        <f>+AD302</f>
        <v>0</v>
      </c>
      <c r="AF300" s="8"/>
      <c r="AG300" s="18"/>
      <c r="AH300" s="8"/>
      <c r="AI300" s="8"/>
      <c r="AJ300" s="8"/>
      <c r="AK300" s="8">
        <f t="shared" si="13"/>
        <v>0</v>
      </c>
      <c r="AL300" s="8">
        <f t="shared" si="14"/>
        <v>0</v>
      </c>
      <c r="AM300" s="9"/>
    </row>
    <row r="301" spans="1:39" ht="24.95" customHeight="1">
      <c r="A301" s="10" t="s">
        <v>338</v>
      </c>
      <c r="B301" s="8">
        <v>0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8"/>
      <c r="N301" s="8"/>
      <c r="O301" s="8"/>
      <c r="P301" s="8"/>
      <c r="Q301" s="8"/>
      <c r="R301" s="8"/>
      <c r="S301" s="8"/>
      <c r="T301" s="8"/>
      <c r="U301" s="18"/>
      <c r="V301" s="18"/>
      <c r="W301" s="18"/>
      <c r="X301" s="18"/>
      <c r="Y301" s="18"/>
      <c r="Z301" s="8"/>
      <c r="AA301" s="18"/>
      <c r="AB301" s="18"/>
      <c r="AC301" s="8">
        <f t="shared" si="15"/>
        <v>0</v>
      </c>
      <c r="AD301" s="18"/>
      <c r="AE301" s="18"/>
      <c r="AF301" s="8"/>
      <c r="AG301" s="18"/>
      <c r="AH301" s="8"/>
      <c r="AI301" s="8"/>
      <c r="AJ301" s="8"/>
      <c r="AK301" s="8">
        <f t="shared" si="13"/>
        <v>0</v>
      </c>
      <c r="AL301" s="8">
        <f t="shared" si="14"/>
        <v>0</v>
      </c>
      <c r="AM301" s="9"/>
    </row>
    <row r="302" spans="1:39" ht="24.95" customHeight="1">
      <c r="A302" s="10" t="s">
        <v>339</v>
      </c>
      <c r="B302" s="8">
        <v>0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8"/>
      <c r="N302" s="8"/>
      <c r="O302" s="8"/>
      <c r="P302" s="8"/>
      <c r="Q302" s="8"/>
      <c r="R302" s="8"/>
      <c r="S302" s="8"/>
      <c r="T302" s="8"/>
      <c r="U302" s="18"/>
      <c r="V302" s="18"/>
      <c r="W302" s="18"/>
      <c r="X302" s="18"/>
      <c r="Y302" s="18"/>
      <c r="Z302" s="8"/>
      <c r="AA302" s="18"/>
      <c r="AB302" s="18"/>
      <c r="AC302" s="8">
        <f t="shared" si="15"/>
        <v>0</v>
      </c>
      <c r="AD302" s="18"/>
      <c r="AE302" s="18"/>
      <c r="AF302" s="8"/>
      <c r="AG302" s="18"/>
      <c r="AH302" s="8"/>
      <c r="AI302" s="8"/>
      <c r="AJ302" s="8"/>
      <c r="AK302" s="8">
        <f t="shared" si="13"/>
        <v>0</v>
      </c>
      <c r="AL302" s="8">
        <f t="shared" si="14"/>
        <v>0</v>
      </c>
      <c r="AM302" s="9"/>
    </row>
    <row r="303" spans="1:39" ht="24.95" customHeight="1">
      <c r="A303" s="10" t="s">
        <v>340</v>
      </c>
      <c r="B303" s="8">
        <v>0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8"/>
      <c r="N303" s="8"/>
      <c r="O303" s="8"/>
      <c r="P303" s="8"/>
      <c r="Q303" s="8"/>
      <c r="R303" s="8"/>
      <c r="S303" s="8"/>
      <c r="T303" s="8"/>
      <c r="U303" s="18"/>
      <c r="V303" s="18"/>
      <c r="W303" s="18"/>
      <c r="X303" s="18"/>
      <c r="Y303" s="18"/>
      <c r="Z303" s="8"/>
      <c r="AA303" s="18"/>
      <c r="AB303" s="18"/>
      <c r="AC303" s="8">
        <f t="shared" si="15"/>
        <v>0</v>
      </c>
      <c r="AD303" s="18"/>
      <c r="AE303" s="18"/>
      <c r="AF303" s="8"/>
      <c r="AG303" s="18"/>
      <c r="AH303" s="8"/>
      <c r="AI303" s="8"/>
      <c r="AJ303" s="8"/>
      <c r="AK303" s="8">
        <f t="shared" si="13"/>
        <v>0</v>
      </c>
      <c r="AL303" s="8">
        <f t="shared" si="14"/>
        <v>0</v>
      </c>
      <c r="AM303" s="9"/>
    </row>
    <row r="304" spans="1:39" ht="24.95" customHeight="1">
      <c r="A304" s="10" t="s">
        <v>341</v>
      </c>
      <c r="B304" s="8">
        <v>414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8"/>
      <c r="N304" s="8"/>
      <c r="O304" s="8"/>
      <c r="P304" s="8"/>
      <c r="Q304" s="8"/>
      <c r="R304" s="8"/>
      <c r="S304" s="8"/>
      <c r="T304" s="8"/>
      <c r="U304" s="18"/>
      <c r="V304" s="18"/>
      <c r="W304" s="18"/>
      <c r="X304" s="18">
        <f>+Y305*2</f>
        <v>0</v>
      </c>
      <c r="Y304" s="18"/>
      <c r="Z304" s="8"/>
      <c r="AA304" s="18">
        <f>+Z305*2</f>
        <v>0</v>
      </c>
      <c r="AB304" s="18"/>
      <c r="AC304" s="8">
        <f t="shared" si="15"/>
        <v>0</v>
      </c>
      <c r="AD304" s="18"/>
      <c r="AE304" s="18"/>
      <c r="AF304" s="8"/>
      <c r="AG304" s="18"/>
      <c r="AH304" s="8"/>
      <c r="AI304" s="8"/>
      <c r="AJ304" s="8">
        <v>22</v>
      </c>
      <c r="AK304" s="8">
        <f t="shared" si="13"/>
        <v>-22</v>
      </c>
      <c r="AL304" s="8">
        <f t="shared" si="14"/>
        <v>392</v>
      </c>
      <c r="AM304" s="9"/>
    </row>
    <row r="305" spans="1:39" ht="24.95" customHeight="1">
      <c r="A305" s="10" t="s">
        <v>342</v>
      </c>
      <c r="B305" s="8">
        <v>0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8"/>
      <c r="N305" s="8"/>
      <c r="O305" s="8"/>
      <c r="P305" s="8"/>
      <c r="Q305" s="8"/>
      <c r="R305" s="8"/>
      <c r="S305" s="8"/>
      <c r="T305" s="8"/>
      <c r="U305" s="18"/>
      <c r="V305" s="18"/>
      <c r="W305" s="18"/>
      <c r="X305" s="18"/>
      <c r="Y305" s="18"/>
      <c r="Z305" s="8"/>
      <c r="AA305" s="18"/>
      <c r="AB305" s="18"/>
      <c r="AC305" s="8">
        <f t="shared" si="15"/>
        <v>0</v>
      </c>
      <c r="AD305" s="18"/>
      <c r="AE305" s="18"/>
      <c r="AF305" s="8"/>
      <c r="AG305" s="18"/>
      <c r="AH305" s="8"/>
      <c r="AI305" s="8"/>
      <c r="AJ305" s="8"/>
      <c r="AK305" s="8">
        <f t="shared" si="13"/>
        <v>0</v>
      </c>
      <c r="AL305" s="8">
        <f t="shared" si="14"/>
        <v>0</v>
      </c>
      <c r="AM305" s="9"/>
    </row>
    <row r="306" spans="1:39" ht="24.95" customHeight="1">
      <c r="A306" s="10" t="s">
        <v>343</v>
      </c>
      <c r="B306" s="8">
        <v>0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8"/>
      <c r="N306" s="8"/>
      <c r="O306" s="8"/>
      <c r="P306" s="8"/>
      <c r="Q306" s="8"/>
      <c r="R306" s="8"/>
      <c r="S306" s="8"/>
      <c r="T306" s="8"/>
      <c r="U306" s="18"/>
      <c r="V306" s="18"/>
      <c r="W306" s="18"/>
      <c r="X306" s="18"/>
      <c r="Y306" s="18"/>
      <c r="Z306" s="8"/>
      <c r="AA306" s="18"/>
      <c r="AB306" s="18"/>
      <c r="AC306" s="8">
        <f t="shared" si="15"/>
        <v>0</v>
      </c>
      <c r="AD306" s="18"/>
      <c r="AE306" s="18"/>
      <c r="AF306" s="8"/>
      <c r="AG306" s="18"/>
      <c r="AH306" s="8"/>
      <c r="AI306" s="8"/>
      <c r="AJ306" s="8"/>
      <c r="AK306" s="8">
        <f t="shared" si="13"/>
        <v>0</v>
      </c>
      <c r="AL306" s="8">
        <f t="shared" si="14"/>
        <v>0</v>
      </c>
      <c r="AM306" s="9"/>
    </row>
    <row r="307" spans="1:39" ht="24.95" customHeight="1">
      <c r="A307" s="10" t="s">
        <v>344</v>
      </c>
      <c r="B307" s="8">
        <v>0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8"/>
      <c r="N307" s="8"/>
      <c r="O307" s="8"/>
      <c r="P307" s="8"/>
      <c r="Q307" s="8"/>
      <c r="R307" s="8"/>
      <c r="S307" s="8"/>
      <c r="T307" s="8"/>
      <c r="U307" s="18"/>
      <c r="V307" s="18"/>
      <c r="W307" s="18"/>
      <c r="X307" s="18"/>
      <c r="Y307" s="18"/>
      <c r="Z307" s="8"/>
      <c r="AA307" s="18"/>
      <c r="AB307" s="18"/>
      <c r="AC307" s="8">
        <f t="shared" si="15"/>
        <v>0</v>
      </c>
      <c r="AD307" s="18"/>
      <c r="AE307" s="18"/>
      <c r="AF307" s="8"/>
      <c r="AG307" s="18"/>
      <c r="AH307" s="8"/>
      <c r="AI307" s="8"/>
      <c r="AJ307" s="8"/>
      <c r="AK307" s="8">
        <f t="shared" si="13"/>
        <v>0</v>
      </c>
      <c r="AL307" s="8">
        <f t="shared" si="14"/>
        <v>0</v>
      </c>
      <c r="AM307" s="9"/>
    </row>
    <row r="308" spans="1:39" ht="24.95" customHeight="1">
      <c r="A308" s="10" t="s">
        <v>345</v>
      </c>
      <c r="B308" s="8">
        <v>128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8"/>
      <c r="N308" s="8"/>
      <c r="O308" s="8"/>
      <c r="P308" s="8"/>
      <c r="Q308" s="8"/>
      <c r="R308" s="8"/>
      <c r="S308" s="8"/>
      <c r="T308" s="8"/>
      <c r="U308" s="18"/>
      <c r="V308" s="18"/>
      <c r="W308" s="18"/>
      <c r="X308" s="18"/>
      <c r="Y308" s="18"/>
      <c r="Z308" s="8"/>
      <c r="AA308" s="18">
        <f>+Z309*2</f>
        <v>0</v>
      </c>
      <c r="AB308" s="18"/>
      <c r="AC308" s="8">
        <f t="shared" si="15"/>
        <v>0</v>
      </c>
      <c r="AD308" s="18"/>
      <c r="AE308" s="18"/>
      <c r="AF308" s="8"/>
      <c r="AG308" s="18"/>
      <c r="AH308" s="8"/>
      <c r="AI308" s="8"/>
      <c r="AJ308" s="8">
        <v>2</v>
      </c>
      <c r="AK308" s="8">
        <f t="shared" si="13"/>
        <v>-2</v>
      </c>
      <c r="AL308" s="8">
        <f t="shared" si="14"/>
        <v>126</v>
      </c>
      <c r="AM308" s="9"/>
    </row>
    <row r="309" spans="1:39" ht="24.95" customHeight="1">
      <c r="A309" s="10" t="s">
        <v>346</v>
      </c>
      <c r="B309" s="8">
        <v>0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8"/>
      <c r="N309" s="8"/>
      <c r="O309" s="8"/>
      <c r="P309" s="8"/>
      <c r="Q309" s="8"/>
      <c r="R309" s="8"/>
      <c r="S309" s="8"/>
      <c r="T309" s="8"/>
      <c r="U309" s="18"/>
      <c r="V309" s="18"/>
      <c r="W309" s="18"/>
      <c r="X309" s="18"/>
      <c r="Y309" s="18"/>
      <c r="Z309" s="8"/>
      <c r="AA309" s="18"/>
      <c r="AB309" s="18"/>
      <c r="AC309" s="8">
        <f t="shared" si="15"/>
        <v>0</v>
      </c>
      <c r="AD309" s="18"/>
      <c r="AE309" s="18"/>
      <c r="AF309" s="8"/>
      <c r="AG309" s="18"/>
      <c r="AH309" s="8"/>
      <c r="AI309" s="8"/>
      <c r="AJ309" s="8"/>
      <c r="AK309" s="8">
        <f t="shared" si="13"/>
        <v>0</v>
      </c>
      <c r="AL309" s="8">
        <f t="shared" si="14"/>
        <v>0</v>
      </c>
      <c r="AM309" s="9"/>
    </row>
    <row r="310" spans="1:39" ht="24.95" customHeight="1">
      <c r="A310" s="10" t="s">
        <v>347</v>
      </c>
      <c r="B310" s="8">
        <v>0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8"/>
      <c r="N310" s="8"/>
      <c r="O310" s="8"/>
      <c r="P310" s="8"/>
      <c r="Q310" s="8"/>
      <c r="R310" s="8"/>
      <c r="S310" s="8"/>
      <c r="T310" s="8"/>
      <c r="U310" s="18"/>
      <c r="V310" s="18"/>
      <c r="W310" s="18"/>
      <c r="X310" s="18"/>
      <c r="Y310" s="18"/>
      <c r="Z310" s="8"/>
      <c r="AA310" s="18">
        <f>+Z311*2</f>
        <v>0</v>
      </c>
      <c r="AB310" s="18"/>
      <c r="AC310" s="8">
        <f t="shared" si="15"/>
        <v>0</v>
      </c>
      <c r="AD310" s="18"/>
      <c r="AE310" s="18"/>
      <c r="AF310" s="8"/>
      <c r="AG310" s="18"/>
      <c r="AH310" s="8"/>
      <c r="AI310" s="8"/>
      <c r="AJ310" s="8"/>
      <c r="AK310" s="8">
        <f t="shared" si="13"/>
        <v>0</v>
      </c>
      <c r="AL310" s="8">
        <f t="shared" si="14"/>
        <v>0</v>
      </c>
      <c r="AM310" s="9"/>
    </row>
    <row r="311" spans="1:39" ht="24.95" customHeight="1">
      <c r="A311" s="10" t="s">
        <v>348</v>
      </c>
      <c r="B311" s="8">
        <v>0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8"/>
      <c r="N311" s="8"/>
      <c r="O311" s="8"/>
      <c r="P311" s="8"/>
      <c r="Q311" s="8"/>
      <c r="R311" s="8"/>
      <c r="S311" s="8"/>
      <c r="T311" s="8"/>
      <c r="U311" s="18"/>
      <c r="V311" s="18"/>
      <c r="W311" s="18"/>
      <c r="X311" s="18"/>
      <c r="Y311" s="18"/>
      <c r="Z311" s="8"/>
      <c r="AA311" s="18"/>
      <c r="AB311" s="18"/>
      <c r="AC311" s="8">
        <f t="shared" si="15"/>
        <v>0</v>
      </c>
      <c r="AD311" s="18"/>
      <c r="AE311" s="18"/>
      <c r="AF311" s="8"/>
      <c r="AG311" s="18"/>
      <c r="AH311" s="8"/>
      <c r="AI311" s="8"/>
      <c r="AJ311" s="8"/>
      <c r="AK311" s="8">
        <f t="shared" si="13"/>
        <v>0</v>
      </c>
      <c r="AL311" s="8">
        <f t="shared" si="14"/>
        <v>0</v>
      </c>
      <c r="AM311" s="9"/>
    </row>
    <row r="312" spans="1:39" ht="24.95" customHeight="1">
      <c r="A312" s="10" t="s">
        <v>349</v>
      </c>
      <c r="B312" s="8">
        <v>0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8"/>
      <c r="N312" s="8"/>
      <c r="O312" s="8"/>
      <c r="P312" s="8"/>
      <c r="Q312" s="8"/>
      <c r="R312" s="8"/>
      <c r="S312" s="8"/>
      <c r="T312" s="8"/>
      <c r="U312" s="18"/>
      <c r="V312" s="18"/>
      <c r="W312" s="18"/>
      <c r="X312" s="18"/>
      <c r="Y312" s="18"/>
      <c r="Z312" s="8"/>
      <c r="AA312" s="18"/>
      <c r="AB312" s="18"/>
      <c r="AC312" s="8">
        <f t="shared" si="15"/>
        <v>0</v>
      </c>
      <c r="AD312" s="18"/>
      <c r="AE312" s="18">
        <f>+AD311</f>
        <v>0</v>
      </c>
      <c r="AF312" s="8"/>
      <c r="AG312" s="18"/>
      <c r="AH312" s="8"/>
      <c r="AI312" s="8"/>
      <c r="AJ312" s="8"/>
      <c r="AK312" s="8">
        <f t="shared" si="13"/>
        <v>0</v>
      </c>
      <c r="AL312" s="8">
        <f t="shared" si="14"/>
        <v>0</v>
      </c>
      <c r="AM312" s="9"/>
    </row>
    <row r="313" spans="1:39" ht="24.95" customHeight="1">
      <c r="A313" s="10" t="s">
        <v>350</v>
      </c>
      <c r="B313" s="8">
        <v>601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8"/>
      <c r="N313" s="8"/>
      <c r="O313" s="8"/>
      <c r="P313" s="8"/>
      <c r="Q313" s="8"/>
      <c r="R313" s="8">
        <v>373</v>
      </c>
      <c r="S313" s="8"/>
      <c r="T313" s="8"/>
      <c r="U313" s="18"/>
      <c r="V313" s="18"/>
      <c r="W313" s="18"/>
      <c r="X313" s="18"/>
      <c r="Y313" s="18"/>
      <c r="Z313" s="8"/>
      <c r="AA313" s="18">
        <f>+Z314*2</f>
        <v>0</v>
      </c>
      <c r="AB313" s="18"/>
      <c r="AC313" s="8">
        <f t="shared" si="15"/>
        <v>0</v>
      </c>
      <c r="AD313" s="18"/>
      <c r="AE313" s="18"/>
      <c r="AF313" s="8"/>
      <c r="AG313" s="18"/>
      <c r="AH313" s="8"/>
      <c r="AI313" s="8"/>
      <c r="AJ313" s="8">
        <v>49</v>
      </c>
      <c r="AK313" s="8">
        <f t="shared" si="13"/>
        <v>-422</v>
      </c>
      <c r="AL313" s="8">
        <f t="shared" si="14"/>
        <v>179</v>
      </c>
      <c r="AM313" s="9"/>
    </row>
    <row r="314" spans="1:39" ht="24.95" customHeight="1">
      <c r="A314" s="10" t="s">
        <v>351</v>
      </c>
      <c r="B314" s="8">
        <v>0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8"/>
      <c r="N314" s="8"/>
      <c r="O314" s="8"/>
      <c r="P314" s="8"/>
      <c r="Q314" s="8"/>
      <c r="R314" s="8"/>
      <c r="S314" s="8"/>
      <c r="T314" s="8"/>
      <c r="U314" s="18"/>
      <c r="V314" s="18"/>
      <c r="W314" s="18"/>
      <c r="X314" s="18"/>
      <c r="Y314" s="18"/>
      <c r="Z314" s="8"/>
      <c r="AA314" s="18"/>
      <c r="AB314" s="18"/>
      <c r="AC314" s="8">
        <f t="shared" si="15"/>
        <v>0</v>
      </c>
      <c r="AD314" s="18"/>
      <c r="AE314" s="18"/>
      <c r="AF314" s="8"/>
      <c r="AG314" s="18"/>
      <c r="AH314" s="8"/>
      <c r="AI314" s="8"/>
      <c r="AJ314" s="8"/>
      <c r="AK314" s="8">
        <f t="shared" si="13"/>
        <v>0</v>
      </c>
      <c r="AL314" s="8">
        <f t="shared" si="14"/>
        <v>0</v>
      </c>
      <c r="AM314" s="9"/>
    </row>
    <row r="315" spans="1:39" ht="24.95" customHeight="1">
      <c r="A315" s="10" t="s">
        <v>352</v>
      </c>
      <c r="B315" s="8">
        <v>0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8"/>
      <c r="N315" s="8"/>
      <c r="O315" s="8"/>
      <c r="P315" s="8"/>
      <c r="Q315" s="8"/>
      <c r="R315" s="8"/>
      <c r="S315" s="8"/>
      <c r="T315" s="8"/>
      <c r="U315" s="18"/>
      <c r="V315" s="18"/>
      <c r="W315" s="18"/>
      <c r="X315" s="18"/>
      <c r="Y315" s="18"/>
      <c r="Z315" s="8"/>
      <c r="AA315" s="18"/>
      <c r="AB315" s="18"/>
      <c r="AC315" s="8">
        <f t="shared" si="15"/>
        <v>0</v>
      </c>
      <c r="AD315" s="18"/>
      <c r="AE315" s="18"/>
      <c r="AF315" s="8"/>
      <c r="AG315" s="18"/>
      <c r="AH315" s="8"/>
      <c r="AI315" s="8"/>
      <c r="AJ315" s="8"/>
      <c r="AK315" s="8">
        <f t="shared" si="13"/>
        <v>0</v>
      </c>
      <c r="AL315" s="8">
        <f t="shared" si="14"/>
        <v>0</v>
      </c>
      <c r="AM315" s="9"/>
    </row>
    <row r="316" spans="1:39" ht="24.95" customHeight="1">
      <c r="A316" s="10" t="s">
        <v>353</v>
      </c>
      <c r="B316" s="8">
        <v>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8"/>
      <c r="N316" s="8"/>
      <c r="O316" s="8"/>
      <c r="P316" s="8"/>
      <c r="Q316" s="8"/>
      <c r="R316" s="8"/>
      <c r="S316" s="8"/>
      <c r="T316" s="8"/>
      <c r="U316" s="18"/>
      <c r="V316" s="18"/>
      <c r="W316" s="18"/>
      <c r="X316" s="18"/>
      <c r="Y316" s="18"/>
      <c r="Z316" s="8"/>
      <c r="AA316" s="18"/>
      <c r="AB316" s="18"/>
      <c r="AC316" s="8">
        <f t="shared" si="15"/>
        <v>0</v>
      </c>
      <c r="AD316" s="18"/>
      <c r="AE316" s="18"/>
      <c r="AF316" s="8"/>
      <c r="AG316" s="18"/>
      <c r="AH316" s="8"/>
      <c r="AI316" s="8"/>
      <c r="AJ316" s="8"/>
      <c r="AK316" s="8">
        <f t="shared" si="13"/>
        <v>0</v>
      </c>
      <c r="AL316" s="8">
        <f t="shared" si="14"/>
        <v>0</v>
      </c>
      <c r="AM316" s="9"/>
    </row>
    <row r="317" spans="1:39" ht="24.95" customHeight="1">
      <c r="A317" s="10" t="s">
        <v>354</v>
      </c>
      <c r="B317" s="8"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8"/>
      <c r="N317" s="8"/>
      <c r="O317" s="8"/>
      <c r="P317" s="8"/>
      <c r="Q317" s="8"/>
      <c r="R317" s="8"/>
      <c r="S317" s="8"/>
      <c r="T317" s="8"/>
      <c r="U317" s="18"/>
      <c r="V317" s="18"/>
      <c r="W317" s="18"/>
      <c r="X317" s="18"/>
      <c r="Y317" s="18"/>
      <c r="Z317" s="8"/>
      <c r="AA317" s="18"/>
      <c r="AB317" s="18"/>
      <c r="AC317" s="8">
        <f t="shared" si="15"/>
        <v>0</v>
      </c>
      <c r="AD317" s="18"/>
      <c r="AE317" s="18"/>
      <c r="AF317" s="8"/>
      <c r="AG317" s="18"/>
      <c r="AH317" s="8"/>
      <c r="AI317" s="8"/>
      <c r="AJ317" s="8"/>
      <c r="AK317" s="8">
        <f t="shared" si="13"/>
        <v>0</v>
      </c>
      <c r="AL317" s="8">
        <f t="shared" si="14"/>
        <v>0</v>
      </c>
      <c r="AM317" s="9"/>
    </row>
    <row r="318" spans="1:39" ht="24.95" customHeight="1">
      <c r="A318" s="10" t="s">
        <v>355</v>
      </c>
      <c r="B318" s="8">
        <v>0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8"/>
      <c r="N318" s="8"/>
      <c r="O318" s="8"/>
      <c r="P318" s="8"/>
      <c r="Q318" s="8"/>
      <c r="R318" s="8"/>
      <c r="S318" s="8"/>
      <c r="T318" s="8"/>
      <c r="U318" s="18"/>
      <c r="V318" s="18"/>
      <c r="W318" s="18"/>
      <c r="X318" s="18"/>
      <c r="Y318" s="18"/>
      <c r="Z318" s="8"/>
      <c r="AA318" s="18"/>
      <c r="AB318" s="18"/>
      <c r="AC318" s="8">
        <f t="shared" si="15"/>
        <v>0</v>
      </c>
      <c r="AD318" s="19"/>
      <c r="AE318" s="18"/>
      <c r="AF318" s="8"/>
      <c r="AG318" s="18"/>
      <c r="AH318" s="8"/>
      <c r="AI318" s="8"/>
      <c r="AJ318" s="8"/>
      <c r="AK318" s="8">
        <f t="shared" si="13"/>
        <v>0</v>
      </c>
      <c r="AL318" s="8">
        <f t="shared" si="14"/>
        <v>0</v>
      </c>
      <c r="AM318" s="9"/>
    </row>
    <row r="319" spans="1:39" ht="24.95" customHeight="1">
      <c r="A319" s="10" t="s">
        <v>356</v>
      </c>
      <c r="B319" s="8">
        <v>222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8"/>
      <c r="N319" s="8"/>
      <c r="O319" s="8"/>
      <c r="P319" s="8"/>
      <c r="Q319" s="8"/>
      <c r="R319" s="8"/>
      <c r="S319" s="8"/>
      <c r="T319" s="8"/>
      <c r="U319" s="18"/>
      <c r="V319" s="18"/>
      <c r="W319" s="18"/>
      <c r="X319" s="18">
        <f>+Y320*2</f>
        <v>0</v>
      </c>
      <c r="Y319" s="18"/>
      <c r="Z319" s="8"/>
      <c r="AA319" s="18">
        <f>+Z320*2</f>
        <v>0</v>
      </c>
      <c r="AB319" s="18"/>
      <c r="AC319" s="8">
        <f t="shared" si="15"/>
        <v>0</v>
      </c>
      <c r="AD319" s="18"/>
      <c r="AE319" s="18"/>
      <c r="AF319" s="8"/>
      <c r="AG319" s="18"/>
      <c r="AH319" s="8"/>
      <c r="AI319" s="8"/>
      <c r="AJ319" s="8">
        <v>7</v>
      </c>
      <c r="AK319" s="8">
        <f t="shared" si="13"/>
        <v>-7</v>
      </c>
      <c r="AL319" s="8">
        <f t="shared" si="14"/>
        <v>215</v>
      </c>
      <c r="AM319" s="9"/>
    </row>
    <row r="320" spans="1:39" ht="24.95" customHeight="1">
      <c r="A320" s="10" t="s">
        <v>357</v>
      </c>
      <c r="B320" s="8">
        <v>997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8"/>
      <c r="N320" s="8"/>
      <c r="O320" s="8"/>
      <c r="P320" s="8"/>
      <c r="Q320" s="8"/>
      <c r="R320" s="8"/>
      <c r="S320" s="8"/>
      <c r="T320" s="8"/>
      <c r="U320" s="18"/>
      <c r="V320" s="18"/>
      <c r="W320" s="18"/>
      <c r="X320" s="18"/>
      <c r="Y320" s="18"/>
      <c r="Z320" s="8"/>
      <c r="AA320" s="18"/>
      <c r="AB320" s="18"/>
      <c r="AC320" s="8">
        <f t="shared" si="15"/>
        <v>0</v>
      </c>
      <c r="AD320" s="18"/>
      <c r="AE320" s="18"/>
      <c r="AF320" s="8"/>
      <c r="AG320" s="18"/>
      <c r="AH320" s="8"/>
      <c r="AI320" s="8"/>
      <c r="AJ320" s="8"/>
      <c r="AK320" s="8">
        <f t="shared" si="13"/>
        <v>0</v>
      </c>
      <c r="AL320" s="8">
        <f t="shared" si="14"/>
        <v>997</v>
      </c>
      <c r="AM320" s="9"/>
    </row>
    <row r="321" spans="1:39" ht="24.95" customHeight="1">
      <c r="A321" s="10" t="s">
        <v>358</v>
      </c>
      <c r="B321" s="8">
        <v>3891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8"/>
      <c r="N321" s="8"/>
      <c r="O321" s="8"/>
      <c r="P321" s="8"/>
      <c r="Q321" s="8"/>
      <c r="R321" s="8"/>
      <c r="S321" s="8"/>
      <c r="T321" s="8"/>
      <c r="U321" s="18"/>
      <c r="V321" s="18"/>
      <c r="W321" s="18"/>
      <c r="X321" s="18"/>
      <c r="Y321" s="18"/>
      <c r="Z321" s="8"/>
      <c r="AA321" s="18"/>
      <c r="AB321" s="18"/>
      <c r="AC321" s="8">
        <f t="shared" si="15"/>
        <v>0</v>
      </c>
      <c r="AD321" s="18"/>
      <c r="AE321" s="18"/>
      <c r="AF321" s="8"/>
      <c r="AG321" s="18"/>
      <c r="AH321" s="8"/>
      <c r="AI321" s="8"/>
      <c r="AJ321" s="8">
        <v>2</v>
      </c>
      <c r="AK321" s="8">
        <f t="shared" si="13"/>
        <v>-2</v>
      </c>
      <c r="AL321" s="8">
        <f t="shared" si="14"/>
        <v>3889</v>
      </c>
      <c r="AM321" s="9"/>
    </row>
    <row r="322" spans="1:39" ht="24.95" customHeight="1">
      <c r="A322" s="10" t="s">
        <v>359</v>
      </c>
      <c r="B322" s="8">
        <v>1687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8"/>
      <c r="N322" s="8"/>
      <c r="O322" s="8"/>
      <c r="P322" s="8"/>
      <c r="Q322" s="8"/>
      <c r="R322" s="8"/>
      <c r="S322" s="8"/>
      <c r="T322" s="8"/>
      <c r="U322" s="18"/>
      <c r="V322" s="18"/>
      <c r="W322" s="18"/>
      <c r="X322" s="18"/>
      <c r="Y322" s="18"/>
      <c r="Z322" s="8"/>
      <c r="AA322" s="18"/>
      <c r="AB322" s="18"/>
      <c r="AC322" s="8">
        <f t="shared" si="15"/>
        <v>0</v>
      </c>
      <c r="AD322" s="18"/>
      <c r="AE322" s="18"/>
      <c r="AF322" s="8"/>
      <c r="AG322" s="18"/>
      <c r="AH322" s="8"/>
      <c r="AI322" s="8"/>
      <c r="AJ322" s="8"/>
      <c r="AK322" s="8">
        <f t="shared" ref="AK322:AK385" si="16">SUM((D322+P322+G322+L322+S322+X322+Z322+AD322+M322+J322+V322+AB322+F322+AG322+O322+AI322)+(-N322-E322-R322-Q322-T322-Y322-AA322-AE322-AJ322-K322-I322-H322-U322-AC322-AF322-AH322-W322))</f>
        <v>0</v>
      </c>
      <c r="AL322" s="8">
        <f t="shared" ref="AL322:AL385" si="17">B322+AK322</f>
        <v>1687</v>
      </c>
      <c r="AM322" s="11"/>
    </row>
    <row r="323" spans="1:39" ht="24.95" customHeight="1">
      <c r="A323" s="10" t="s">
        <v>360</v>
      </c>
      <c r="B323" s="8">
        <v>1998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8"/>
      <c r="N323" s="8"/>
      <c r="O323" s="8"/>
      <c r="P323" s="8"/>
      <c r="Q323" s="8"/>
      <c r="R323" s="8"/>
      <c r="S323" s="8"/>
      <c r="T323" s="8"/>
      <c r="U323" s="18"/>
      <c r="V323" s="18"/>
      <c r="W323" s="18"/>
      <c r="X323" s="18"/>
      <c r="Y323" s="18"/>
      <c r="Z323" s="8"/>
      <c r="AA323" s="18"/>
      <c r="AB323" s="18"/>
      <c r="AC323" s="8">
        <f t="shared" si="15"/>
        <v>0</v>
      </c>
      <c r="AD323" s="18"/>
      <c r="AE323" s="18"/>
      <c r="AF323" s="8"/>
      <c r="AG323" s="18"/>
      <c r="AH323" s="8"/>
      <c r="AI323" s="8"/>
      <c r="AJ323" s="8"/>
      <c r="AK323" s="8">
        <f t="shared" si="16"/>
        <v>0</v>
      </c>
      <c r="AL323" s="8">
        <f t="shared" si="17"/>
        <v>1998</v>
      </c>
      <c r="AM323" s="11"/>
    </row>
    <row r="324" spans="1:39" ht="24.95" customHeight="1">
      <c r="A324" s="10" t="s">
        <v>361</v>
      </c>
      <c r="B324" s="8">
        <v>2379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8"/>
      <c r="N324" s="8"/>
      <c r="O324" s="8"/>
      <c r="P324" s="8"/>
      <c r="Q324" s="8"/>
      <c r="R324" s="8"/>
      <c r="S324" s="8"/>
      <c r="T324" s="8"/>
      <c r="U324" s="18"/>
      <c r="V324" s="18"/>
      <c r="W324" s="18"/>
      <c r="X324" s="18"/>
      <c r="Y324" s="18"/>
      <c r="Z324" s="8"/>
      <c r="AA324" s="18">
        <f>+Z325*2</f>
        <v>0</v>
      </c>
      <c r="AB324" s="18"/>
      <c r="AC324" s="8">
        <f t="shared" si="15"/>
        <v>0</v>
      </c>
      <c r="AD324" s="18"/>
      <c r="AE324" s="18"/>
      <c r="AF324" s="8"/>
      <c r="AG324" s="18"/>
      <c r="AH324" s="8"/>
      <c r="AI324" s="8"/>
      <c r="AJ324" s="8">
        <v>1</v>
      </c>
      <c r="AK324" s="8">
        <f t="shared" si="16"/>
        <v>-1</v>
      </c>
      <c r="AL324" s="8">
        <f t="shared" si="17"/>
        <v>2378</v>
      </c>
      <c r="AM324" s="9"/>
    </row>
    <row r="325" spans="1:39" ht="24.95" customHeight="1">
      <c r="A325" s="10" t="s">
        <v>362</v>
      </c>
      <c r="B325" s="8">
        <v>317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8"/>
      <c r="N325" s="8"/>
      <c r="O325" s="8"/>
      <c r="P325" s="8"/>
      <c r="Q325" s="8"/>
      <c r="R325" s="8"/>
      <c r="S325" s="8"/>
      <c r="T325" s="8"/>
      <c r="U325" s="18"/>
      <c r="V325" s="18"/>
      <c r="W325" s="18"/>
      <c r="X325" s="18"/>
      <c r="Y325" s="18"/>
      <c r="Z325" s="8"/>
      <c r="AA325" s="18"/>
      <c r="AB325" s="18"/>
      <c r="AC325" s="8">
        <f t="shared" si="15"/>
        <v>0</v>
      </c>
      <c r="AD325" s="18"/>
      <c r="AE325" s="18"/>
      <c r="AF325" s="8"/>
      <c r="AG325" s="18"/>
      <c r="AH325" s="8"/>
      <c r="AI325" s="8"/>
      <c r="AJ325" s="8"/>
      <c r="AK325" s="8">
        <f t="shared" si="16"/>
        <v>0</v>
      </c>
      <c r="AL325" s="8">
        <f t="shared" si="17"/>
        <v>317</v>
      </c>
      <c r="AM325" s="9"/>
    </row>
    <row r="326" spans="1:39" ht="24.95" customHeight="1">
      <c r="A326" s="10" t="s">
        <v>363</v>
      </c>
      <c r="B326" s="8">
        <v>0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8"/>
      <c r="N326" s="8"/>
      <c r="O326" s="8"/>
      <c r="P326" s="8"/>
      <c r="Q326" s="8"/>
      <c r="R326" s="8"/>
      <c r="S326" s="8"/>
      <c r="T326" s="8"/>
      <c r="U326" s="18"/>
      <c r="V326" s="18"/>
      <c r="W326" s="18"/>
      <c r="X326" s="18"/>
      <c r="Y326" s="18"/>
      <c r="Z326" s="8"/>
      <c r="AA326" s="18"/>
      <c r="AB326" s="18"/>
      <c r="AC326" s="8">
        <f t="shared" si="15"/>
        <v>0</v>
      </c>
      <c r="AD326" s="18"/>
      <c r="AE326" s="18"/>
      <c r="AF326" s="8"/>
      <c r="AG326" s="18"/>
      <c r="AH326" s="8"/>
      <c r="AI326" s="8"/>
      <c r="AJ326" s="8"/>
      <c r="AK326" s="8">
        <f t="shared" si="16"/>
        <v>0</v>
      </c>
      <c r="AL326" s="8">
        <f t="shared" si="17"/>
        <v>0</v>
      </c>
      <c r="AM326" s="9"/>
    </row>
    <row r="327" spans="1:39" ht="24.95" customHeight="1">
      <c r="A327" s="10" t="s">
        <v>364</v>
      </c>
      <c r="B327" s="8">
        <v>0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8"/>
      <c r="N327" s="8"/>
      <c r="O327" s="8"/>
      <c r="P327" s="8"/>
      <c r="Q327" s="8"/>
      <c r="R327" s="8"/>
      <c r="S327" s="8"/>
      <c r="T327" s="8"/>
      <c r="U327" s="18"/>
      <c r="V327" s="18"/>
      <c r="W327" s="18"/>
      <c r="X327" s="18"/>
      <c r="Y327" s="18"/>
      <c r="Z327" s="8"/>
      <c r="AA327" s="18"/>
      <c r="AB327" s="18"/>
      <c r="AC327" s="8">
        <f t="shared" si="15"/>
        <v>0</v>
      </c>
      <c r="AD327" s="18"/>
      <c r="AE327" s="18"/>
      <c r="AF327" s="8"/>
      <c r="AG327" s="18"/>
      <c r="AH327" s="8"/>
      <c r="AI327" s="8"/>
      <c r="AJ327" s="8"/>
      <c r="AK327" s="8">
        <f t="shared" si="16"/>
        <v>0</v>
      </c>
      <c r="AL327" s="8">
        <f t="shared" si="17"/>
        <v>0</v>
      </c>
      <c r="AM327" s="9"/>
    </row>
    <row r="328" spans="1:39" ht="24.95" customHeight="1">
      <c r="A328" s="10" t="s">
        <v>365</v>
      </c>
      <c r="B328" s="8">
        <v>1042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8"/>
      <c r="N328" s="8"/>
      <c r="O328" s="8"/>
      <c r="P328" s="8"/>
      <c r="Q328" s="8"/>
      <c r="R328" s="8"/>
      <c r="S328" s="8"/>
      <c r="T328" s="8"/>
      <c r="U328" s="18"/>
      <c r="V328" s="18"/>
      <c r="W328" s="18"/>
      <c r="X328" s="18"/>
      <c r="Y328" s="18"/>
      <c r="Z328" s="8"/>
      <c r="AA328" s="18">
        <f>+Z329*2</f>
        <v>0</v>
      </c>
      <c r="AB328" s="18"/>
      <c r="AC328" s="8">
        <f t="shared" si="15"/>
        <v>0</v>
      </c>
      <c r="AD328" s="18"/>
      <c r="AE328" s="18"/>
      <c r="AF328" s="8"/>
      <c r="AG328" s="18"/>
      <c r="AH328" s="8"/>
      <c r="AI328" s="8"/>
      <c r="AJ328" s="8"/>
      <c r="AK328" s="8">
        <f t="shared" si="16"/>
        <v>0</v>
      </c>
      <c r="AL328" s="8">
        <f t="shared" si="17"/>
        <v>1042</v>
      </c>
      <c r="AM328" s="9"/>
    </row>
    <row r="329" spans="1:39" ht="24.95" customHeight="1">
      <c r="A329" s="10" t="s">
        <v>366</v>
      </c>
      <c r="B329" s="8">
        <v>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8"/>
      <c r="N329" s="8"/>
      <c r="O329" s="8"/>
      <c r="P329" s="8"/>
      <c r="Q329" s="8"/>
      <c r="R329" s="8"/>
      <c r="S329" s="8"/>
      <c r="T329" s="8"/>
      <c r="U329" s="18"/>
      <c r="V329" s="18"/>
      <c r="W329" s="18"/>
      <c r="X329" s="18"/>
      <c r="Y329" s="18"/>
      <c r="Z329" s="8"/>
      <c r="AA329" s="18"/>
      <c r="AB329" s="18"/>
      <c r="AC329" s="8">
        <f t="shared" si="15"/>
        <v>0</v>
      </c>
      <c r="AD329" s="18"/>
      <c r="AE329" s="18"/>
      <c r="AF329" s="8"/>
      <c r="AG329" s="18"/>
      <c r="AH329" s="8"/>
      <c r="AI329" s="8"/>
      <c r="AJ329" s="8"/>
      <c r="AK329" s="8">
        <f t="shared" si="16"/>
        <v>0</v>
      </c>
      <c r="AL329" s="8">
        <f t="shared" si="17"/>
        <v>0</v>
      </c>
      <c r="AM329" s="9"/>
    </row>
    <row r="330" spans="1:39" ht="24.95" customHeight="1">
      <c r="A330" s="10" t="s">
        <v>367</v>
      </c>
      <c r="B330" s="8">
        <v>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8"/>
      <c r="N330" s="8"/>
      <c r="O330" s="8"/>
      <c r="P330" s="8"/>
      <c r="Q330" s="8"/>
      <c r="R330" s="8"/>
      <c r="S330" s="8"/>
      <c r="T330" s="8"/>
      <c r="U330" s="18"/>
      <c r="V330" s="18"/>
      <c r="W330" s="18"/>
      <c r="X330" s="18"/>
      <c r="Y330" s="18"/>
      <c r="Z330" s="8"/>
      <c r="AA330" s="18"/>
      <c r="AB330" s="18"/>
      <c r="AC330" s="8">
        <f t="shared" si="15"/>
        <v>0</v>
      </c>
      <c r="AD330" s="18"/>
      <c r="AE330" s="18"/>
      <c r="AF330" s="8"/>
      <c r="AG330" s="18"/>
      <c r="AH330" s="8"/>
      <c r="AI330" s="8"/>
      <c r="AJ330" s="8"/>
      <c r="AK330" s="8">
        <f t="shared" si="16"/>
        <v>0</v>
      </c>
      <c r="AL330" s="8">
        <f t="shared" si="17"/>
        <v>0</v>
      </c>
      <c r="AM330" s="9"/>
    </row>
    <row r="331" spans="1:39" ht="24.95" customHeight="1">
      <c r="A331" s="10" t="s">
        <v>368</v>
      </c>
      <c r="B331" s="8">
        <v>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8"/>
      <c r="N331" s="8"/>
      <c r="O331" s="8"/>
      <c r="P331" s="8"/>
      <c r="Q331" s="8"/>
      <c r="R331" s="8"/>
      <c r="S331" s="8"/>
      <c r="T331" s="8"/>
      <c r="U331" s="18"/>
      <c r="V331" s="18"/>
      <c r="W331" s="18"/>
      <c r="X331" s="18"/>
      <c r="Y331" s="18"/>
      <c r="Z331" s="8"/>
      <c r="AA331" s="18"/>
      <c r="AB331" s="18"/>
      <c r="AC331" s="8">
        <f t="shared" si="15"/>
        <v>0</v>
      </c>
      <c r="AD331" s="18"/>
      <c r="AE331" s="18"/>
      <c r="AF331" s="8"/>
      <c r="AG331" s="18"/>
      <c r="AH331" s="8"/>
      <c r="AI331" s="8"/>
      <c r="AJ331" s="8"/>
      <c r="AK331" s="8">
        <f t="shared" si="16"/>
        <v>0</v>
      </c>
      <c r="AL331" s="8">
        <f t="shared" si="17"/>
        <v>0</v>
      </c>
      <c r="AM331" s="9"/>
    </row>
    <row r="332" spans="1:39" ht="24.95" customHeight="1">
      <c r="A332" s="10" t="s">
        <v>369</v>
      </c>
      <c r="B332" s="8">
        <v>9207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8"/>
      <c r="N332" s="8"/>
      <c r="O332" s="8"/>
      <c r="P332" s="8"/>
      <c r="Q332" s="8"/>
      <c r="R332" s="8"/>
      <c r="S332" s="8"/>
      <c r="T332" s="8"/>
      <c r="U332" s="18"/>
      <c r="V332" s="18"/>
      <c r="W332" s="18"/>
      <c r="X332" s="18">
        <f>+Y334*3+Y335*4+Y333*2</f>
        <v>0</v>
      </c>
      <c r="Y332" s="18"/>
      <c r="Z332" s="8"/>
      <c r="AA332" s="18">
        <f>+(Z333*2)+(Z334*3)+(Z335*4)</f>
        <v>182</v>
      </c>
      <c r="AB332" s="18"/>
      <c r="AC332" s="8">
        <f t="shared" si="15"/>
        <v>0</v>
      </c>
      <c r="AD332" s="18"/>
      <c r="AE332" s="18"/>
      <c r="AF332" s="8"/>
      <c r="AG332" s="18"/>
      <c r="AH332" s="8"/>
      <c r="AI332" s="8"/>
      <c r="AJ332" s="8">
        <v>1765</v>
      </c>
      <c r="AK332" s="8">
        <f t="shared" si="16"/>
        <v>-1947</v>
      </c>
      <c r="AL332" s="8">
        <f t="shared" si="17"/>
        <v>7260</v>
      </c>
      <c r="AM332" s="9"/>
    </row>
    <row r="333" spans="1:39" ht="24.95" customHeight="1">
      <c r="A333" s="10" t="s">
        <v>370</v>
      </c>
      <c r="B333" s="8">
        <v>3800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8"/>
      <c r="N333" s="8"/>
      <c r="O333" s="8"/>
      <c r="P333" s="8"/>
      <c r="Q333" s="8"/>
      <c r="R333" s="8"/>
      <c r="S333" s="8"/>
      <c r="T333" s="8"/>
      <c r="U333" s="18"/>
      <c r="V333" s="18"/>
      <c r="W333" s="18"/>
      <c r="X333" s="18"/>
      <c r="Y333" s="18"/>
      <c r="Z333" s="8"/>
      <c r="AA333" s="18"/>
      <c r="AB333" s="18"/>
      <c r="AC333" s="8">
        <f t="shared" si="15"/>
        <v>0</v>
      </c>
      <c r="AD333" s="18"/>
      <c r="AE333" s="18"/>
      <c r="AF333" s="8"/>
      <c r="AG333" s="18"/>
      <c r="AH333" s="8"/>
      <c r="AI333" s="8"/>
      <c r="AJ333" s="8"/>
      <c r="AK333" s="8">
        <f t="shared" si="16"/>
        <v>0</v>
      </c>
      <c r="AL333" s="8">
        <f t="shared" si="17"/>
        <v>3800</v>
      </c>
      <c r="AM333" s="9"/>
    </row>
    <row r="334" spans="1:39" ht="24.95" customHeight="1">
      <c r="A334" s="10" t="s">
        <v>371</v>
      </c>
      <c r="B334" s="8">
        <v>0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8"/>
      <c r="N334" s="8"/>
      <c r="O334" s="8"/>
      <c r="P334" s="8"/>
      <c r="Q334" s="8"/>
      <c r="R334" s="8">
        <v>38</v>
      </c>
      <c r="S334" s="8"/>
      <c r="T334" s="8"/>
      <c r="U334" s="18"/>
      <c r="V334" s="18"/>
      <c r="W334" s="18"/>
      <c r="X334" s="18"/>
      <c r="Y334" s="18"/>
      <c r="Z334" s="8">
        <v>50</v>
      </c>
      <c r="AA334" s="18"/>
      <c r="AB334" s="18"/>
      <c r="AC334" s="8">
        <f t="shared" si="15"/>
        <v>0</v>
      </c>
      <c r="AD334" s="18"/>
      <c r="AE334" s="18"/>
      <c r="AF334" s="8"/>
      <c r="AG334" s="18"/>
      <c r="AH334" s="8"/>
      <c r="AI334" s="8"/>
      <c r="AJ334" s="8">
        <v>12</v>
      </c>
      <c r="AK334" s="8">
        <f t="shared" si="16"/>
        <v>0</v>
      </c>
      <c r="AL334" s="8">
        <f t="shared" si="17"/>
        <v>0</v>
      </c>
      <c r="AM334" s="9"/>
    </row>
    <row r="335" spans="1:39" ht="24.95" customHeight="1">
      <c r="A335" s="10" t="s">
        <v>372</v>
      </c>
      <c r="B335" s="8">
        <v>0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8"/>
      <c r="N335" s="8"/>
      <c r="O335" s="8"/>
      <c r="P335" s="8"/>
      <c r="Q335" s="8"/>
      <c r="R335" s="8">
        <v>4</v>
      </c>
      <c r="S335" s="8"/>
      <c r="T335" s="8"/>
      <c r="U335" s="18"/>
      <c r="V335" s="18"/>
      <c r="W335" s="18"/>
      <c r="X335" s="18"/>
      <c r="Y335" s="18"/>
      <c r="Z335" s="8">
        <v>8</v>
      </c>
      <c r="AA335" s="18"/>
      <c r="AB335" s="18"/>
      <c r="AC335" s="8">
        <f t="shared" si="15"/>
        <v>0</v>
      </c>
      <c r="AD335" s="18"/>
      <c r="AE335" s="18"/>
      <c r="AF335" s="8"/>
      <c r="AG335" s="18"/>
      <c r="AH335" s="8"/>
      <c r="AI335" s="8"/>
      <c r="AJ335" s="8">
        <v>4</v>
      </c>
      <c r="AK335" s="8">
        <f t="shared" si="16"/>
        <v>0</v>
      </c>
      <c r="AL335" s="8">
        <f t="shared" si="17"/>
        <v>0</v>
      </c>
      <c r="AM335" s="9"/>
    </row>
    <row r="336" spans="1:39" ht="24.95" customHeight="1">
      <c r="A336" s="10" t="s">
        <v>373</v>
      </c>
      <c r="B336" s="8">
        <v>5045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8"/>
      <c r="N336" s="8"/>
      <c r="O336" s="8"/>
      <c r="P336" s="8"/>
      <c r="Q336" s="8"/>
      <c r="R336" s="8"/>
      <c r="S336" s="8"/>
      <c r="T336" s="8"/>
      <c r="U336" s="18"/>
      <c r="V336" s="18"/>
      <c r="W336" s="18"/>
      <c r="X336" s="18"/>
      <c r="Y336" s="18"/>
      <c r="Z336" s="8"/>
      <c r="AA336" s="18"/>
      <c r="AB336" s="18"/>
      <c r="AC336" s="8">
        <f t="shared" si="15"/>
        <v>0</v>
      </c>
      <c r="AD336" s="18"/>
      <c r="AE336" s="18"/>
      <c r="AF336" s="8"/>
      <c r="AG336" s="18"/>
      <c r="AH336" s="8"/>
      <c r="AI336" s="8"/>
      <c r="AJ336" s="8">
        <v>9</v>
      </c>
      <c r="AK336" s="8">
        <f t="shared" si="16"/>
        <v>-9</v>
      </c>
      <c r="AL336" s="8">
        <f t="shared" si="17"/>
        <v>5036</v>
      </c>
      <c r="AM336" s="9"/>
    </row>
    <row r="337" spans="1:39" ht="24.95" customHeight="1">
      <c r="A337" s="10" t="s">
        <v>374</v>
      </c>
      <c r="B337" s="8">
        <v>865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8"/>
      <c r="N337" s="8"/>
      <c r="O337" s="8"/>
      <c r="P337" s="8"/>
      <c r="Q337" s="8"/>
      <c r="R337" s="8"/>
      <c r="S337" s="8"/>
      <c r="T337" s="8"/>
      <c r="U337" s="18"/>
      <c r="V337" s="18"/>
      <c r="W337" s="18"/>
      <c r="X337" s="18"/>
      <c r="Y337" s="18"/>
      <c r="Z337" s="8"/>
      <c r="AA337" s="18"/>
      <c r="AB337" s="18"/>
      <c r="AC337" s="8">
        <f t="shared" si="15"/>
        <v>0</v>
      </c>
      <c r="AD337" s="18"/>
      <c r="AE337" s="18"/>
      <c r="AF337" s="8"/>
      <c r="AG337" s="18"/>
      <c r="AH337" s="8"/>
      <c r="AI337" s="8"/>
      <c r="AJ337" s="8">
        <v>3</v>
      </c>
      <c r="AK337" s="8">
        <f t="shared" si="16"/>
        <v>-3</v>
      </c>
      <c r="AL337" s="8">
        <f t="shared" si="17"/>
        <v>862</v>
      </c>
      <c r="AM337" s="9"/>
    </row>
    <row r="338" spans="1:39" ht="24.95" customHeight="1">
      <c r="A338" s="10" t="s">
        <v>375</v>
      </c>
      <c r="B338" s="8">
        <v>0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8"/>
      <c r="N338" s="8"/>
      <c r="O338" s="8"/>
      <c r="P338" s="8"/>
      <c r="Q338" s="8"/>
      <c r="R338" s="8"/>
      <c r="S338" s="8"/>
      <c r="T338" s="8"/>
      <c r="U338" s="18"/>
      <c r="V338" s="18"/>
      <c r="W338" s="18"/>
      <c r="X338" s="18"/>
      <c r="Y338" s="18"/>
      <c r="Z338" s="8"/>
      <c r="AA338" s="18">
        <f>+Z339*2</f>
        <v>0</v>
      </c>
      <c r="AB338" s="18"/>
      <c r="AC338" s="8">
        <f t="shared" si="15"/>
        <v>0</v>
      </c>
      <c r="AD338" s="18"/>
      <c r="AE338" s="18"/>
      <c r="AF338" s="8"/>
      <c r="AG338" s="18"/>
      <c r="AH338" s="8"/>
      <c r="AI338" s="8"/>
      <c r="AJ338" s="8"/>
      <c r="AK338" s="8">
        <f t="shared" si="16"/>
        <v>0</v>
      </c>
      <c r="AL338" s="8">
        <f t="shared" si="17"/>
        <v>0</v>
      </c>
      <c r="AM338" s="9"/>
    </row>
    <row r="339" spans="1:39" ht="24.95" customHeight="1">
      <c r="A339" s="10" t="s">
        <v>376</v>
      </c>
      <c r="B339" s="8">
        <v>0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8"/>
      <c r="N339" s="8"/>
      <c r="O339" s="8"/>
      <c r="P339" s="8"/>
      <c r="Q339" s="8"/>
      <c r="R339" s="8"/>
      <c r="S339" s="8"/>
      <c r="T339" s="8"/>
      <c r="U339" s="18"/>
      <c r="V339" s="18"/>
      <c r="W339" s="18"/>
      <c r="X339" s="18"/>
      <c r="Y339" s="18"/>
      <c r="Z339" s="8"/>
      <c r="AA339" s="18"/>
      <c r="AB339" s="18"/>
      <c r="AC339" s="8">
        <f t="shared" si="15"/>
        <v>0</v>
      </c>
      <c r="AD339" s="18"/>
      <c r="AE339" s="18"/>
      <c r="AF339" s="8"/>
      <c r="AG339" s="18"/>
      <c r="AH339" s="8"/>
      <c r="AI339" s="8"/>
      <c r="AJ339" s="8"/>
      <c r="AK339" s="8">
        <f t="shared" si="16"/>
        <v>0</v>
      </c>
      <c r="AL339" s="8">
        <f t="shared" si="17"/>
        <v>0</v>
      </c>
      <c r="AM339" s="9"/>
    </row>
    <row r="340" spans="1:39" ht="24.95" customHeight="1">
      <c r="A340" s="10" t="s">
        <v>377</v>
      </c>
      <c r="B340" s="8">
        <v>0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8"/>
      <c r="N340" s="8"/>
      <c r="O340" s="8"/>
      <c r="P340" s="8"/>
      <c r="Q340" s="8"/>
      <c r="R340" s="8"/>
      <c r="S340" s="8"/>
      <c r="T340" s="8"/>
      <c r="U340" s="18"/>
      <c r="V340" s="18"/>
      <c r="W340" s="18"/>
      <c r="X340" s="18"/>
      <c r="Y340" s="18"/>
      <c r="Z340" s="8"/>
      <c r="AA340" s="18"/>
      <c r="AB340" s="18"/>
      <c r="AC340" s="8">
        <f t="shared" si="15"/>
        <v>0</v>
      </c>
      <c r="AD340" s="18"/>
      <c r="AE340" s="18"/>
      <c r="AF340" s="8"/>
      <c r="AG340" s="18"/>
      <c r="AH340" s="8"/>
      <c r="AI340" s="8"/>
      <c r="AJ340" s="8"/>
      <c r="AK340" s="8">
        <f t="shared" si="16"/>
        <v>0</v>
      </c>
      <c r="AL340" s="8">
        <f t="shared" si="17"/>
        <v>0</v>
      </c>
      <c r="AM340" s="9"/>
    </row>
    <row r="341" spans="1:39" ht="24.95" customHeight="1">
      <c r="A341" s="10" t="s">
        <v>378</v>
      </c>
      <c r="B341" s="8">
        <v>148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8"/>
      <c r="N341" s="8"/>
      <c r="O341" s="8"/>
      <c r="P341" s="8"/>
      <c r="Q341" s="8"/>
      <c r="R341" s="8"/>
      <c r="S341" s="8"/>
      <c r="T341" s="8"/>
      <c r="U341" s="18"/>
      <c r="V341" s="18"/>
      <c r="W341" s="18"/>
      <c r="X341" s="18"/>
      <c r="Y341" s="18"/>
      <c r="Z341" s="8"/>
      <c r="AA341" s="18">
        <f>+Z343*2</f>
        <v>0</v>
      </c>
      <c r="AB341" s="18"/>
      <c r="AC341" s="8">
        <f t="shared" si="15"/>
        <v>0</v>
      </c>
      <c r="AD341" s="18"/>
      <c r="AE341" s="18"/>
      <c r="AF341" s="8"/>
      <c r="AG341" s="18"/>
      <c r="AH341" s="8"/>
      <c r="AI341" s="8"/>
      <c r="AJ341" s="8">
        <v>3</v>
      </c>
      <c r="AK341" s="8">
        <f t="shared" si="16"/>
        <v>-3</v>
      </c>
      <c r="AL341" s="8">
        <f t="shared" si="17"/>
        <v>145</v>
      </c>
      <c r="AM341" s="9"/>
    </row>
    <row r="342" spans="1:39" ht="24.95" customHeight="1">
      <c r="A342" s="10" t="s">
        <v>379</v>
      </c>
      <c r="B342" s="8">
        <v>0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8"/>
      <c r="N342" s="8"/>
      <c r="O342" s="8"/>
      <c r="P342" s="8"/>
      <c r="Q342" s="8"/>
      <c r="R342" s="8"/>
      <c r="S342" s="8"/>
      <c r="T342" s="8"/>
      <c r="U342" s="18"/>
      <c r="V342" s="18"/>
      <c r="W342" s="18"/>
      <c r="X342" s="18"/>
      <c r="Y342" s="18"/>
      <c r="Z342" s="8"/>
      <c r="AA342" s="18"/>
      <c r="AB342" s="18"/>
      <c r="AC342" s="8">
        <f t="shared" si="15"/>
        <v>0</v>
      </c>
      <c r="AD342" s="18"/>
      <c r="AE342" s="18"/>
      <c r="AF342" s="8"/>
      <c r="AG342" s="18"/>
      <c r="AH342" s="8"/>
      <c r="AI342" s="8"/>
      <c r="AJ342" s="8"/>
      <c r="AK342" s="8">
        <f t="shared" si="16"/>
        <v>0</v>
      </c>
      <c r="AL342" s="8">
        <f t="shared" si="17"/>
        <v>0</v>
      </c>
      <c r="AM342" s="9"/>
    </row>
    <row r="343" spans="1:39" ht="24.95" customHeight="1">
      <c r="A343" s="10" t="s">
        <v>380</v>
      </c>
      <c r="B343" s="8"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8"/>
      <c r="N343" s="8"/>
      <c r="O343" s="8"/>
      <c r="P343" s="8"/>
      <c r="Q343" s="8"/>
      <c r="R343" s="8"/>
      <c r="S343" s="8"/>
      <c r="T343" s="8"/>
      <c r="U343" s="18"/>
      <c r="V343" s="18"/>
      <c r="W343" s="18"/>
      <c r="X343" s="18"/>
      <c r="Y343" s="18"/>
      <c r="Z343" s="8"/>
      <c r="AA343" s="18"/>
      <c r="AB343" s="18"/>
      <c r="AC343" s="8">
        <f t="shared" si="15"/>
        <v>0</v>
      </c>
      <c r="AD343" s="18"/>
      <c r="AE343" s="18"/>
      <c r="AF343" s="8"/>
      <c r="AG343" s="18"/>
      <c r="AH343" s="8"/>
      <c r="AI343" s="8"/>
      <c r="AJ343" s="8"/>
      <c r="AK343" s="8">
        <f t="shared" si="16"/>
        <v>0</v>
      </c>
      <c r="AL343" s="8">
        <f t="shared" si="17"/>
        <v>0</v>
      </c>
      <c r="AM343" s="9"/>
    </row>
    <row r="344" spans="1:39" ht="24.95" customHeight="1">
      <c r="A344" s="10" t="s">
        <v>381</v>
      </c>
      <c r="B344" s="8">
        <v>1486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8"/>
      <c r="N344" s="8"/>
      <c r="O344" s="8"/>
      <c r="P344" s="8"/>
      <c r="Q344" s="8"/>
      <c r="R344" s="8"/>
      <c r="S344" s="8"/>
      <c r="T344" s="8"/>
      <c r="U344" s="18"/>
      <c r="V344" s="18"/>
      <c r="W344" s="18"/>
      <c r="X344" s="18">
        <f>Y345*2</f>
        <v>0</v>
      </c>
      <c r="Y344" s="18"/>
      <c r="Z344" s="8"/>
      <c r="AA344" s="18">
        <f>+Z345*2</f>
        <v>0</v>
      </c>
      <c r="AB344" s="18"/>
      <c r="AC344" s="8">
        <f t="shared" si="15"/>
        <v>0</v>
      </c>
      <c r="AD344" s="18"/>
      <c r="AE344" s="18"/>
      <c r="AF344" s="8"/>
      <c r="AG344" s="18"/>
      <c r="AH344" s="8"/>
      <c r="AI344" s="8"/>
      <c r="AJ344" s="8">
        <v>1</v>
      </c>
      <c r="AK344" s="8">
        <f t="shared" si="16"/>
        <v>-1</v>
      </c>
      <c r="AL344" s="8">
        <f t="shared" si="17"/>
        <v>1485</v>
      </c>
      <c r="AM344" s="9"/>
    </row>
    <row r="345" spans="1:39" ht="24.95" customHeight="1">
      <c r="A345" s="10" t="s">
        <v>382</v>
      </c>
      <c r="B345" s="8">
        <v>1447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8"/>
      <c r="N345" s="8"/>
      <c r="O345" s="8"/>
      <c r="P345" s="8"/>
      <c r="Q345" s="8"/>
      <c r="R345" s="8"/>
      <c r="S345" s="8"/>
      <c r="T345" s="8"/>
      <c r="U345" s="18"/>
      <c r="V345" s="18"/>
      <c r="W345" s="18"/>
      <c r="X345" s="18"/>
      <c r="Y345" s="18"/>
      <c r="Z345" s="8"/>
      <c r="AA345" s="18"/>
      <c r="AB345" s="18"/>
      <c r="AC345" s="8">
        <f t="shared" si="15"/>
        <v>0</v>
      </c>
      <c r="AD345" s="18"/>
      <c r="AE345" s="18"/>
      <c r="AF345" s="8"/>
      <c r="AG345" s="18"/>
      <c r="AH345" s="8"/>
      <c r="AI345" s="8"/>
      <c r="AJ345" s="8"/>
      <c r="AK345" s="8">
        <f t="shared" si="16"/>
        <v>0</v>
      </c>
      <c r="AL345" s="8">
        <f t="shared" si="17"/>
        <v>1447</v>
      </c>
      <c r="AM345" s="9"/>
    </row>
    <row r="346" spans="1:39" ht="24.95" customHeight="1">
      <c r="A346" s="10" t="s">
        <v>383</v>
      </c>
      <c r="B346" s="8">
        <v>0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8"/>
      <c r="N346" s="8"/>
      <c r="O346" s="8"/>
      <c r="P346" s="8"/>
      <c r="Q346" s="8"/>
      <c r="R346" s="8"/>
      <c r="S346" s="8"/>
      <c r="T346" s="8"/>
      <c r="U346" s="18"/>
      <c r="V346" s="18"/>
      <c r="W346" s="18"/>
      <c r="X346" s="18"/>
      <c r="Y346" s="18"/>
      <c r="Z346" s="8"/>
      <c r="AA346" s="18"/>
      <c r="AB346" s="18"/>
      <c r="AC346" s="8">
        <f t="shared" si="15"/>
        <v>0</v>
      </c>
      <c r="AD346" s="18"/>
      <c r="AE346" s="18"/>
      <c r="AF346" s="8"/>
      <c r="AG346" s="18"/>
      <c r="AH346" s="8"/>
      <c r="AI346" s="8"/>
      <c r="AJ346" s="8"/>
      <c r="AK346" s="8">
        <f t="shared" si="16"/>
        <v>0</v>
      </c>
      <c r="AL346" s="8">
        <f t="shared" si="17"/>
        <v>0</v>
      </c>
      <c r="AM346" s="9"/>
    </row>
    <row r="347" spans="1:39" ht="24.95" customHeight="1">
      <c r="A347" s="10" t="s">
        <v>384</v>
      </c>
      <c r="B347" s="8">
        <v>0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8"/>
      <c r="N347" s="8"/>
      <c r="O347" s="8"/>
      <c r="P347" s="8"/>
      <c r="Q347" s="8"/>
      <c r="R347" s="8"/>
      <c r="S347" s="8"/>
      <c r="T347" s="8"/>
      <c r="U347" s="18"/>
      <c r="V347" s="18"/>
      <c r="W347" s="18"/>
      <c r="X347" s="18"/>
      <c r="Y347" s="18"/>
      <c r="Z347" s="8"/>
      <c r="AA347" s="18"/>
      <c r="AB347" s="18"/>
      <c r="AC347" s="8">
        <f t="shared" si="15"/>
        <v>0</v>
      </c>
      <c r="AD347" s="18"/>
      <c r="AE347" s="18"/>
      <c r="AF347" s="8"/>
      <c r="AG347" s="18"/>
      <c r="AH347" s="8"/>
      <c r="AI347" s="8"/>
      <c r="AJ347" s="8"/>
      <c r="AK347" s="8">
        <f t="shared" si="16"/>
        <v>0</v>
      </c>
      <c r="AL347" s="8">
        <f t="shared" si="17"/>
        <v>0</v>
      </c>
      <c r="AM347" s="9"/>
    </row>
    <row r="348" spans="1:39" ht="24.95" customHeight="1">
      <c r="A348" s="10" t="s">
        <v>385</v>
      </c>
      <c r="B348" s="8">
        <v>0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8"/>
      <c r="N348" s="8"/>
      <c r="O348" s="8"/>
      <c r="P348" s="8"/>
      <c r="Q348" s="8"/>
      <c r="R348" s="8"/>
      <c r="S348" s="8"/>
      <c r="T348" s="8"/>
      <c r="U348" s="18"/>
      <c r="V348" s="18"/>
      <c r="W348" s="18"/>
      <c r="X348" s="18"/>
      <c r="Y348" s="18"/>
      <c r="Z348" s="8"/>
      <c r="AA348" s="18"/>
      <c r="AB348" s="18"/>
      <c r="AC348" s="8">
        <f t="shared" si="15"/>
        <v>0</v>
      </c>
      <c r="AD348" s="18"/>
      <c r="AE348" s="18"/>
      <c r="AF348" s="8"/>
      <c r="AG348" s="18"/>
      <c r="AH348" s="8"/>
      <c r="AI348" s="8"/>
      <c r="AJ348" s="8"/>
      <c r="AK348" s="8">
        <f t="shared" si="16"/>
        <v>0</v>
      </c>
      <c r="AL348" s="8">
        <f t="shared" si="17"/>
        <v>0</v>
      </c>
      <c r="AM348" s="9"/>
    </row>
    <row r="349" spans="1:39" ht="24.95" customHeight="1">
      <c r="A349" s="10" t="s">
        <v>386</v>
      </c>
      <c r="B349" s="8">
        <v>0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8"/>
      <c r="N349" s="8"/>
      <c r="O349" s="8"/>
      <c r="P349" s="8"/>
      <c r="Q349" s="8"/>
      <c r="R349" s="8"/>
      <c r="S349" s="8"/>
      <c r="T349" s="8"/>
      <c r="U349" s="18"/>
      <c r="V349" s="18"/>
      <c r="W349" s="18"/>
      <c r="X349" s="18"/>
      <c r="Y349" s="18"/>
      <c r="Z349" s="8"/>
      <c r="AA349" s="18"/>
      <c r="AB349" s="18"/>
      <c r="AC349" s="8">
        <f t="shared" si="15"/>
        <v>0</v>
      </c>
      <c r="AD349" s="18"/>
      <c r="AE349" s="18"/>
      <c r="AF349" s="8"/>
      <c r="AG349" s="18"/>
      <c r="AH349" s="8"/>
      <c r="AI349" s="8"/>
      <c r="AJ349" s="8"/>
      <c r="AK349" s="8">
        <f t="shared" si="16"/>
        <v>0</v>
      </c>
      <c r="AL349" s="8">
        <f t="shared" si="17"/>
        <v>0</v>
      </c>
      <c r="AM349" s="9"/>
    </row>
    <row r="350" spans="1:39" ht="24.95" customHeight="1">
      <c r="A350" s="10" t="s">
        <v>387</v>
      </c>
      <c r="B350" s="8">
        <v>0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8"/>
      <c r="N350" s="8"/>
      <c r="O350" s="8"/>
      <c r="P350" s="8"/>
      <c r="Q350" s="8"/>
      <c r="R350" s="8"/>
      <c r="S350" s="8"/>
      <c r="T350" s="8"/>
      <c r="U350" s="18"/>
      <c r="V350" s="18"/>
      <c r="W350" s="18"/>
      <c r="X350" s="18"/>
      <c r="Y350" s="18"/>
      <c r="Z350" s="8"/>
      <c r="AA350" s="18"/>
      <c r="AB350" s="18"/>
      <c r="AC350" s="8">
        <f t="shared" si="15"/>
        <v>0</v>
      </c>
      <c r="AD350" s="18"/>
      <c r="AE350" s="18">
        <f>+AD352</f>
        <v>0</v>
      </c>
      <c r="AF350" s="8"/>
      <c r="AG350" s="18"/>
      <c r="AH350" s="8"/>
      <c r="AI350" s="8"/>
      <c r="AJ350" s="8"/>
      <c r="AK350" s="8">
        <f t="shared" si="16"/>
        <v>0</v>
      </c>
      <c r="AL350" s="8">
        <f t="shared" si="17"/>
        <v>0</v>
      </c>
      <c r="AM350" s="9"/>
    </row>
    <row r="351" spans="1:39" ht="24.95" customHeight="1">
      <c r="A351" s="10" t="s">
        <v>388</v>
      </c>
      <c r="B351" s="8">
        <v>0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8"/>
      <c r="N351" s="8"/>
      <c r="O351" s="8"/>
      <c r="P351" s="8"/>
      <c r="Q351" s="8"/>
      <c r="R351" s="8"/>
      <c r="S351" s="8"/>
      <c r="T351" s="8"/>
      <c r="U351" s="18"/>
      <c r="V351" s="18"/>
      <c r="W351" s="18"/>
      <c r="X351" s="18"/>
      <c r="Y351" s="18"/>
      <c r="Z351" s="8"/>
      <c r="AA351" s="18"/>
      <c r="AB351" s="18"/>
      <c r="AC351" s="8">
        <f t="shared" si="15"/>
        <v>0</v>
      </c>
      <c r="AD351" s="18"/>
      <c r="AE351" s="18">
        <f>+AD353</f>
        <v>0</v>
      </c>
      <c r="AF351" s="8"/>
      <c r="AG351" s="18"/>
      <c r="AH351" s="8"/>
      <c r="AI351" s="8"/>
      <c r="AJ351" s="8"/>
      <c r="AK351" s="8">
        <f t="shared" si="16"/>
        <v>0</v>
      </c>
      <c r="AL351" s="8">
        <f t="shared" si="17"/>
        <v>0</v>
      </c>
      <c r="AM351" s="9"/>
    </row>
    <row r="352" spans="1:39" ht="24.95" customHeight="1">
      <c r="A352" s="10" t="s">
        <v>389</v>
      </c>
      <c r="B352" s="8">
        <v>0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8"/>
      <c r="N352" s="8"/>
      <c r="O352" s="8"/>
      <c r="P352" s="8"/>
      <c r="Q352" s="8"/>
      <c r="R352" s="8"/>
      <c r="S352" s="8"/>
      <c r="T352" s="8"/>
      <c r="U352" s="18"/>
      <c r="V352" s="18"/>
      <c r="W352" s="18"/>
      <c r="X352" s="18"/>
      <c r="Y352" s="18"/>
      <c r="Z352" s="8"/>
      <c r="AA352" s="18"/>
      <c r="AB352" s="18"/>
      <c r="AC352" s="8">
        <f t="shared" si="15"/>
        <v>0</v>
      </c>
      <c r="AD352" s="18"/>
      <c r="AE352" s="18"/>
      <c r="AF352" s="8"/>
      <c r="AG352" s="18"/>
      <c r="AH352" s="8"/>
      <c r="AI352" s="8"/>
      <c r="AJ352" s="8"/>
      <c r="AK352" s="8">
        <f t="shared" si="16"/>
        <v>0</v>
      </c>
      <c r="AL352" s="8">
        <f t="shared" si="17"/>
        <v>0</v>
      </c>
      <c r="AM352" s="9"/>
    </row>
    <row r="353" spans="1:39" ht="24.95" customHeight="1">
      <c r="A353" s="10" t="s">
        <v>390</v>
      </c>
      <c r="B353" s="8">
        <v>0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8"/>
      <c r="N353" s="8"/>
      <c r="O353" s="8"/>
      <c r="P353" s="8"/>
      <c r="Q353" s="8"/>
      <c r="R353" s="8"/>
      <c r="S353" s="8"/>
      <c r="T353" s="8"/>
      <c r="U353" s="18"/>
      <c r="V353" s="18"/>
      <c r="W353" s="18"/>
      <c r="X353" s="18"/>
      <c r="Y353" s="18"/>
      <c r="Z353" s="8"/>
      <c r="AA353" s="18"/>
      <c r="AB353" s="18"/>
      <c r="AC353" s="8">
        <f t="shared" si="15"/>
        <v>0</v>
      </c>
      <c r="AD353" s="18"/>
      <c r="AE353" s="18"/>
      <c r="AF353" s="8"/>
      <c r="AG353" s="18"/>
      <c r="AH353" s="8"/>
      <c r="AI353" s="8"/>
      <c r="AJ353" s="8"/>
      <c r="AK353" s="8">
        <f t="shared" si="16"/>
        <v>0</v>
      </c>
      <c r="AL353" s="8">
        <f t="shared" si="17"/>
        <v>0</v>
      </c>
      <c r="AM353" s="9"/>
    </row>
    <row r="354" spans="1:39" ht="24.95" customHeight="1">
      <c r="A354" s="10" t="s">
        <v>391</v>
      </c>
      <c r="B354" s="8">
        <v>0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8"/>
      <c r="N354" s="8"/>
      <c r="O354" s="8"/>
      <c r="P354" s="8"/>
      <c r="Q354" s="8"/>
      <c r="R354" s="8"/>
      <c r="S354" s="8"/>
      <c r="T354" s="8"/>
      <c r="U354" s="18"/>
      <c r="V354" s="18"/>
      <c r="W354" s="18"/>
      <c r="X354" s="18"/>
      <c r="Y354" s="18"/>
      <c r="Z354" s="8"/>
      <c r="AA354" s="18"/>
      <c r="AB354" s="18"/>
      <c r="AC354" s="8">
        <f t="shared" si="15"/>
        <v>0</v>
      </c>
      <c r="AD354" s="18"/>
      <c r="AE354" s="18"/>
      <c r="AF354" s="8"/>
      <c r="AG354" s="18"/>
      <c r="AH354" s="8"/>
      <c r="AI354" s="8"/>
      <c r="AJ354" s="8"/>
      <c r="AK354" s="8">
        <f t="shared" si="16"/>
        <v>0</v>
      </c>
      <c r="AL354" s="8">
        <f t="shared" si="17"/>
        <v>0</v>
      </c>
      <c r="AM354" s="9"/>
    </row>
    <row r="355" spans="1:39" ht="24.95" customHeight="1">
      <c r="A355" s="10" t="s">
        <v>392</v>
      </c>
      <c r="B355" s="8">
        <v>0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8"/>
      <c r="N355" s="8"/>
      <c r="O355" s="8"/>
      <c r="P355" s="8"/>
      <c r="Q355" s="8"/>
      <c r="R355" s="8"/>
      <c r="S355" s="8"/>
      <c r="T355" s="8"/>
      <c r="U355" s="18"/>
      <c r="V355" s="18"/>
      <c r="W355" s="18"/>
      <c r="X355" s="18"/>
      <c r="Y355" s="18"/>
      <c r="Z355" s="8"/>
      <c r="AA355" s="18"/>
      <c r="AB355" s="18"/>
      <c r="AC355" s="8">
        <f t="shared" ref="AC355:AC361" si="18">+AB355</f>
        <v>0</v>
      </c>
      <c r="AD355" s="18"/>
      <c r="AE355" s="18"/>
      <c r="AF355" s="8"/>
      <c r="AG355" s="18"/>
      <c r="AH355" s="8"/>
      <c r="AI355" s="8"/>
      <c r="AJ355" s="8"/>
      <c r="AK355" s="8">
        <f t="shared" si="16"/>
        <v>0</v>
      </c>
      <c r="AL355" s="8">
        <f t="shared" si="17"/>
        <v>0</v>
      </c>
      <c r="AM355" s="9"/>
    </row>
    <row r="356" spans="1:39" ht="24.95" customHeight="1">
      <c r="A356" s="10" t="s">
        <v>393</v>
      </c>
      <c r="B356" s="8">
        <v>0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8"/>
      <c r="N356" s="8"/>
      <c r="O356" s="8"/>
      <c r="P356" s="8"/>
      <c r="Q356" s="8"/>
      <c r="R356" s="8"/>
      <c r="S356" s="8"/>
      <c r="T356" s="8"/>
      <c r="U356" s="18"/>
      <c r="V356" s="18"/>
      <c r="W356" s="18"/>
      <c r="X356" s="18"/>
      <c r="Y356" s="18"/>
      <c r="Z356" s="8"/>
      <c r="AA356" s="18">
        <f>+Z357*2</f>
        <v>0</v>
      </c>
      <c r="AB356" s="18"/>
      <c r="AC356" s="8">
        <f t="shared" si="18"/>
        <v>0</v>
      </c>
      <c r="AD356" s="18"/>
      <c r="AE356" s="18"/>
      <c r="AF356" s="8"/>
      <c r="AG356" s="18"/>
      <c r="AH356" s="8"/>
      <c r="AI356" s="8"/>
      <c r="AJ356" s="8"/>
      <c r="AK356" s="8">
        <f t="shared" si="16"/>
        <v>0</v>
      </c>
      <c r="AL356" s="8">
        <f t="shared" si="17"/>
        <v>0</v>
      </c>
      <c r="AM356" s="9"/>
    </row>
    <row r="357" spans="1:39" ht="24.95" customHeight="1">
      <c r="A357" s="10" t="s">
        <v>394</v>
      </c>
      <c r="B357" s="8">
        <v>0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8"/>
      <c r="N357" s="8"/>
      <c r="O357" s="8"/>
      <c r="P357" s="8"/>
      <c r="Q357" s="8"/>
      <c r="R357" s="8"/>
      <c r="S357" s="8"/>
      <c r="T357" s="8"/>
      <c r="U357" s="18"/>
      <c r="V357" s="18"/>
      <c r="W357" s="18"/>
      <c r="X357" s="18"/>
      <c r="Y357" s="18"/>
      <c r="Z357" s="8"/>
      <c r="AA357" s="18"/>
      <c r="AB357" s="18"/>
      <c r="AC357" s="8">
        <f t="shared" si="18"/>
        <v>0</v>
      </c>
      <c r="AD357" s="18"/>
      <c r="AE357" s="18"/>
      <c r="AF357" s="8"/>
      <c r="AG357" s="18"/>
      <c r="AH357" s="8"/>
      <c r="AI357" s="8"/>
      <c r="AJ357" s="8"/>
      <c r="AK357" s="8">
        <f t="shared" si="16"/>
        <v>0</v>
      </c>
      <c r="AL357" s="8">
        <f t="shared" si="17"/>
        <v>0</v>
      </c>
      <c r="AM357" s="9"/>
    </row>
    <row r="358" spans="1:39" ht="24.95" customHeight="1">
      <c r="A358" s="10" t="s">
        <v>395</v>
      </c>
      <c r="B358" s="8">
        <v>0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8"/>
      <c r="N358" s="8"/>
      <c r="O358" s="8"/>
      <c r="P358" s="8"/>
      <c r="Q358" s="8"/>
      <c r="R358" s="8"/>
      <c r="S358" s="8"/>
      <c r="T358" s="8"/>
      <c r="U358" s="18"/>
      <c r="V358" s="18"/>
      <c r="W358" s="18"/>
      <c r="X358" s="18"/>
      <c r="Y358" s="18"/>
      <c r="Z358" s="8"/>
      <c r="AA358" s="18">
        <f>+Z359*2</f>
        <v>0</v>
      </c>
      <c r="AB358" s="18"/>
      <c r="AC358" s="8">
        <f t="shared" si="18"/>
        <v>0</v>
      </c>
      <c r="AD358" s="18"/>
      <c r="AE358" s="18"/>
      <c r="AF358" s="8"/>
      <c r="AG358" s="18"/>
      <c r="AH358" s="8"/>
      <c r="AI358" s="8"/>
      <c r="AJ358" s="8"/>
      <c r="AK358" s="8">
        <f t="shared" si="16"/>
        <v>0</v>
      </c>
      <c r="AL358" s="8">
        <f t="shared" si="17"/>
        <v>0</v>
      </c>
      <c r="AM358" s="9"/>
    </row>
    <row r="359" spans="1:39" ht="24.95" customHeight="1">
      <c r="A359" s="10" t="s">
        <v>396</v>
      </c>
      <c r="B359" s="8">
        <v>0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8"/>
      <c r="N359" s="8"/>
      <c r="O359" s="8"/>
      <c r="P359" s="8"/>
      <c r="Q359" s="8"/>
      <c r="R359" s="8"/>
      <c r="S359" s="8"/>
      <c r="T359" s="8"/>
      <c r="U359" s="18"/>
      <c r="V359" s="18"/>
      <c r="W359" s="18"/>
      <c r="X359" s="18"/>
      <c r="Y359" s="18"/>
      <c r="Z359" s="8"/>
      <c r="AA359" s="18"/>
      <c r="AB359" s="18"/>
      <c r="AC359" s="8">
        <f t="shared" si="18"/>
        <v>0</v>
      </c>
      <c r="AD359" s="18"/>
      <c r="AE359" s="18"/>
      <c r="AF359" s="8"/>
      <c r="AG359" s="18"/>
      <c r="AH359" s="8"/>
      <c r="AI359" s="8"/>
      <c r="AJ359" s="8"/>
      <c r="AK359" s="8">
        <f t="shared" si="16"/>
        <v>0</v>
      </c>
      <c r="AL359" s="8">
        <f t="shared" si="17"/>
        <v>0</v>
      </c>
      <c r="AM359" s="9"/>
    </row>
    <row r="360" spans="1:39" ht="24.95" customHeight="1">
      <c r="A360" s="10" t="s">
        <v>397</v>
      </c>
      <c r="B360" s="8">
        <v>0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8"/>
      <c r="N360" s="8"/>
      <c r="O360" s="8"/>
      <c r="P360" s="8"/>
      <c r="Q360" s="8"/>
      <c r="R360" s="8"/>
      <c r="S360" s="8"/>
      <c r="T360" s="8"/>
      <c r="U360" s="18"/>
      <c r="V360" s="18"/>
      <c r="W360" s="18"/>
      <c r="X360" s="18">
        <f>+Y362*2</f>
        <v>4</v>
      </c>
      <c r="Y360" s="18"/>
      <c r="Z360" s="8"/>
      <c r="AA360" s="18">
        <f>+Z361*2</f>
        <v>0</v>
      </c>
      <c r="AB360" s="18"/>
      <c r="AC360" s="8">
        <f t="shared" si="18"/>
        <v>0</v>
      </c>
      <c r="AD360" s="18"/>
      <c r="AE360" s="18"/>
      <c r="AF360" s="8"/>
      <c r="AG360" s="18"/>
      <c r="AH360" s="8"/>
      <c r="AI360" s="8"/>
      <c r="AJ360" s="8">
        <v>4</v>
      </c>
      <c r="AK360" s="8">
        <f t="shared" si="16"/>
        <v>0</v>
      </c>
      <c r="AL360" s="8">
        <f t="shared" si="17"/>
        <v>0</v>
      </c>
      <c r="AM360" s="11"/>
    </row>
    <row r="361" spans="1:39" ht="24.95" customHeight="1">
      <c r="A361" s="10" t="s">
        <v>398</v>
      </c>
      <c r="B361" s="8">
        <v>0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8"/>
      <c r="N361" s="8"/>
      <c r="O361" s="8"/>
      <c r="P361" s="8"/>
      <c r="Q361" s="8"/>
      <c r="R361" s="8"/>
      <c r="S361" s="8"/>
      <c r="T361" s="8"/>
      <c r="U361" s="18"/>
      <c r="V361" s="18"/>
      <c r="W361" s="18"/>
      <c r="X361" s="18"/>
      <c r="Y361" s="18"/>
      <c r="Z361" s="8"/>
      <c r="AA361" s="18"/>
      <c r="AB361" s="18"/>
      <c r="AC361" s="8">
        <f t="shared" si="18"/>
        <v>0</v>
      </c>
      <c r="AD361" s="18"/>
      <c r="AE361" s="18"/>
      <c r="AF361" s="8"/>
      <c r="AG361" s="18"/>
      <c r="AH361" s="8"/>
      <c r="AI361" s="8"/>
      <c r="AJ361" s="8"/>
      <c r="AK361" s="8">
        <f t="shared" si="16"/>
        <v>0</v>
      </c>
      <c r="AL361" s="8">
        <f t="shared" si="17"/>
        <v>0</v>
      </c>
      <c r="AM361" s="9"/>
    </row>
    <row r="362" spans="1:39" ht="24.95" customHeight="1">
      <c r="A362" s="10" t="s">
        <v>399</v>
      </c>
      <c r="B362" s="8">
        <v>2756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8"/>
      <c r="N362" s="8"/>
      <c r="O362" s="8"/>
      <c r="P362" s="8"/>
      <c r="Q362" s="8"/>
      <c r="R362" s="8"/>
      <c r="S362" s="8"/>
      <c r="T362" s="8"/>
      <c r="U362" s="18"/>
      <c r="V362" s="18"/>
      <c r="W362" s="18"/>
      <c r="X362" s="18"/>
      <c r="Y362" s="18">
        <v>2</v>
      </c>
      <c r="Z362" s="8"/>
      <c r="AA362" s="18"/>
      <c r="AB362" s="18"/>
      <c r="AC362" s="8"/>
      <c r="AD362" s="18"/>
      <c r="AE362" s="18"/>
      <c r="AF362" s="8"/>
      <c r="AG362" s="18"/>
      <c r="AH362" s="8"/>
      <c r="AI362" s="8"/>
      <c r="AJ362" s="8"/>
      <c r="AK362" s="8">
        <f t="shared" si="16"/>
        <v>-2</v>
      </c>
      <c r="AL362" s="8">
        <f t="shared" si="17"/>
        <v>2754</v>
      </c>
      <c r="AM362" s="9"/>
    </row>
    <row r="363" spans="1:39" ht="24.95" customHeight="1">
      <c r="A363" s="10" t="s">
        <v>400</v>
      </c>
      <c r="B363" s="8">
        <v>0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8"/>
      <c r="N363" s="8"/>
      <c r="O363" s="8"/>
      <c r="P363" s="8"/>
      <c r="Q363" s="8"/>
      <c r="R363" s="8"/>
      <c r="S363" s="8"/>
      <c r="T363" s="8"/>
      <c r="U363" s="18"/>
      <c r="V363" s="18"/>
      <c r="W363" s="18"/>
      <c r="X363" s="18"/>
      <c r="Y363" s="18"/>
      <c r="Z363" s="8"/>
      <c r="AA363" s="18"/>
      <c r="AB363" s="18"/>
      <c r="AC363" s="8">
        <f t="shared" ref="AC363:AC379" si="19">+AB363</f>
        <v>0</v>
      </c>
      <c r="AD363" s="18"/>
      <c r="AE363" s="18">
        <f>+AD359</f>
        <v>0</v>
      </c>
      <c r="AF363" s="8"/>
      <c r="AG363" s="18"/>
      <c r="AH363" s="8"/>
      <c r="AI363" s="8"/>
      <c r="AJ363" s="8"/>
      <c r="AK363" s="8">
        <f t="shared" si="16"/>
        <v>0</v>
      </c>
      <c r="AL363" s="8">
        <f t="shared" si="17"/>
        <v>0</v>
      </c>
      <c r="AM363" s="9"/>
    </row>
    <row r="364" spans="1:39" ht="24.95" customHeight="1">
      <c r="A364" s="10" t="s">
        <v>401</v>
      </c>
      <c r="B364" s="8">
        <v>0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8"/>
      <c r="N364" s="8"/>
      <c r="O364" s="8"/>
      <c r="P364" s="8"/>
      <c r="Q364" s="8"/>
      <c r="R364" s="8"/>
      <c r="S364" s="8"/>
      <c r="T364" s="8"/>
      <c r="U364" s="18"/>
      <c r="V364" s="18"/>
      <c r="W364" s="18"/>
      <c r="X364" s="18"/>
      <c r="Y364" s="18"/>
      <c r="Z364" s="8"/>
      <c r="AA364" s="18"/>
      <c r="AB364" s="18"/>
      <c r="AC364" s="8">
        <f t="shared" si="19"/>
        <v>0</v>
      </c>
      <c r="AD364" s="18"/>
      <c r="AE364" s="18"/>
      <c r="AF364" s="8"/>
      <c r="AG364" s="18"/>
      <c r="AH364" s="8"/>
      <c r="AI364" s="8"/>
      <c r="AJ364" s="8"/>
      <c r="AK364" s="8">
        <f t="shared" si="16"/>
        <v>0</v>
      </c>
      <c r="AL364" s="8">
        <f t="shared" si="17"/>
        <v>0</v>
      </c>
      <c r="AM364" s="9"/>
    </row>
    <row r="365" spans="1:39" ht="24.95" customHeight="1">
      <c r="A365" s="10" t="s">
        <v>402</v>
      </c>
      <c r="B365" s="8">
        <v>1734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8"/>
      <c r="N365" s="8"/>
      <c r="O365" s="8"/>
      <c r="P365" s="8"/>
      <c r="Q365" s="8"/>
      <c r="R365" s="8"/>
      <c r="S365" s="8"/>
      <c r="T365" s="8"/>
      <c r="U365" s="18"/>
      <c r="V365" s="18"/>
      <c r="W365" s="18"/>
      <c r="X365" s="18"/>
      <c r="Y365" s="18"/>
      <c r="Z365" s="8"/>
      <c r="AA365" s="18">
        <f>+Z366*2</f>
        <v>0</v>
      </c>
      <c r="AB365" s="18"/>
      <c r="AC365" s="8">
        <f t="shared" si="19"/>
        <v>0</v>
      </c>
      <c r="AD365" s="18"/>
      <c r="AE365" s="18"/>
      <c r="AF365" s="8"/>
      <c r="AG365" s="18"/>
      <c r="AH365" s="8"/>
      <c r="AI365" s="8"/>
      <c r="AJ365" s="8">
        <v>2</v>
      </c>
      <c r="AK365" s="8">
        <f t="shared" si="16"/>
        <v>-2</v>
      </c>
      <c r="AL365" s="8">
        <f t="shared" si="17"/>
        <v>1732</v>
      </c>
      <c r="AM365" s="9"/>
    </row>
    <row r="366" spans="1:39" ht="24.95" customHeight="1">
      <c r="A366" s="10" t="s">
        <v>403</v>
      </c>
      <c r="B366" s="8">
        <v>1971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8"/>
      <c r="N366" s="8"/>
      <c r="O366" s="8"/>
      <c r="P366" s="8"/>
      <c r="Q366" s="8"/>
      <c r="R366" s="8"/>
      <c r="S366" s="8"/>
      <c r="T366" s="8"/>
      <c r="U366" s="18"/>
      <c r="V366" s="18"/>
      <c r="W366" s="18"/>
      <c r="X366" s="18"/>
      <c r="Y366" s="18"/>
      <c r="Z366" s="8"/>
      <c r="AA366" s="18"/>
      <c r="AB366" s="18"/>
      <c r="AC366" s="8">
        <f t="shared" si="19"/>
        <v>0</v>
      </c>
      <c r="AD366" s="18"/>
      <c r="AE366" s="18"/>
      <c r="AF366" s="8"/>
      <c r="AG366" s="18"/>
      <c r="AH366" s="8"/>
      <c r="AI366" s="8"/>
      <c r="AJ366" s="8"/>
      <c r="AK366" s="8">
        <f t="shared" si="16"/>
        <v>0</v>
      </c>
      <c r="AL366" s="8">
        <f t="shared" si="17"/>
        <v>1971</v>
      </c>
      <c r="AM366" s="11"/>
    </row>
    <row r="367" spans="1:39" ht="24.95" customHeight="1">
      <c r="A367" s="10" t="s">
        <v>404</v>
      </c>
      <c r="B367" s="8">
        <v>5143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8"/>
      <c r="N367" s="8"/>
      <c r="O367" s="8"/>
      <c r="P367" s="8"/>
      <c r="Q367" s="8"/>
      <c r="R367" s="8"/>
      <c r="S367" s="8"/>
      <c r="T367" s="8"/>
      <c r="U367" s="18"/>
      <c r="V367" s="18"/>
      <c r="W367" s="18"/>
      <c r="X367" s="18"/>
      <c r="Y367" s="18"/>
      <c r="Z367" s="8"/>
      <c r="AA367" s="18">
        <f>+Z368*2</f>
        <v>0</v>
      </c>
      <c r="AB367" s="18"/>
      <c r="AC367" s="8">
        <f t="shared" si="19"/>
        <v>0</v>
      </c>
      <c r="AD367" s="18"/>
      <c r="AE367" s="18"/>
      <c r="AF367" s="8"/>
      <c r="AG367" s="18"/>
      <c r="AH367" s="8"/>
      <c r="AI367" s="8"/>
      <c r="AJ367" s="8">
        <v>2</v>
      </c>
      <c r="AK367" s="8">
        <f t="shared" si="16"/>
        <v>-2</v>
      </c>
      <c r="AL367" s="8">
        <f t="shared" si="17"/>
        <v>5141</v>
      </c>
      <c r="AM367" s="11"/>
    </row>
    <row r="368" spans="1:39" ht="24.95" customHeight="1">
      <c r="A368" s="10" t="s">
        <v>405</v>
      </c>
      <c r="B368" s="8">
        <v>0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8"/>
      <c r="N368" s="8"/>
      <c r="O368" s="8"/>
      <c r="P368" s="8"/>
      <c r="Q368" s="8"/>
      <c r="R368" s="8"/>
      <c r="S368" s="8"/>
      <c r="T368" s="8"/>
      <c r="U368" s="18"/>
      <c r="V368" s="18"/>
      <c r="W368" s="18"/>
      <c r="X368" s="18"/>
      <c r="Y368" s="18"/>
      <c r="Z368" s="8"/>
      <c r="AA368" s="18"/>
      <c r="AB368" s="18"/>
      <c r="AC368" s="8">
        <f t="shared" si="19"/>
        <v>0</v>
      </c>
      <c r="AD368" s="18"/>
      <c r="AE368" s="18"/>
      <c r="AF368" s="8"/>
      <c r="AG368" s="18"/>
      <c r="AH368" s="8"/>
      <c r="AI368" s="8"/>
      <c r="AJ368" s="8"/>
      <c r="AK368" s="8">
        <f t="shared" si="16"/>
        <v>0</v>
      </c>
      <c r="AL368" s="8">
        <f t="shared" si="17"/>
        <v>0</v>
      </c>
      <c r="AM368" s="9"/>
    </row>
    <row r="369" spans="1:39" ht="24.95" customHeight="1">
      <c r="A369" s="10" t="s">
        <v>406</v>
      </c>
      <c r="B369" s="8">
        <v>4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8"/>
      <c r="N369" s="8"/>
      <c r="O369" s="8"/>
      <c r="P369" s="8"/>
      <c r="Q369" s="8"/>
      <c r="R369" s="8"/>
      <c r="S369" s="8"/>
      <c r="T369" s="8"/>
      <c r="U369" s="18"/>
      <c r="V369" s="18"/>
      <c r="W369" s="18"/>
      <c r="X369" s="18"/>
      <c r="Y369" s="18"/>
      <c r="Z369" s="8"/>
      <c r="AA369" s="18"/>
      <c r="AB369" s="18"/>
      <c r="AC369" s="8">
        <f t="shared" si="19"/>
        <v>0</v>
      </c>
      <c r="AD369" s="18"/>
      <c r="AE369" s="18"/>
      <c r="AF369" s="8"/>
      <c r="AG369" s="18"/>
      <c r="AH369" s="8"/>
      <c r="AI369" s="8"/>
      <c r="AJ369" s="8"/>
      <c r="AK369" s="8">
        <f t="shared" si="16"/>
        <v>0</v>
      </c>
      <c r="AL369" s="8">
        <f t="shared" si="17"/>
        <v>4</v>
      </c>
      <c r="AM369" s="9"/>
    </row>
    <row r="370" spans="1:39" ht="24.95" customHeight="1">
      <c r="A370" s="10" t="s">
        <v>407</v>
      </c>
      <c r="B370" s="8">
        <v>2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8"/>
      <c r="N370" s="8"/>
      <c r="O370" s="8"/>
      <c r="P370" s="8"/>
      <c r="Q370" s="8"/>
      <c r="R370" s="8"/>
      <c r="S370" s="8"/>
      <c r="T370" s="8"/>
      <c r="U370" s="18"/>
      <c r="V370" s="18"/>
      <c r="W370" s="18"/>
      <c r="X370" s="18"/>
      <c r="Y370" s="18"/>
      <c r="Z370" s="8"/>
      <c r="AA370" s="18"/>
      <c r="AB370" s="18"/>
      <c r="AC370" s="8">
        <f t="shared" si="19"/>
        <v>0</v>
      </c>
      <c r="AD370" s="18"/>
      <c r="AE370" s="18"/>
      <c r="AF370" s="8"/>
      <c r="AG370" s="18"/>
      <c r="AH370" s="8"/>
      <c r="AI370" s="8"/>
      <c r="AJ370" s="8"/>
      <c r="AK370" s="8">
        <f t="shared" si="16"/>
        <v>0</v>
      </c>
      <c r="AL370" s="8">
        <f t="shared" si="17"/>
        <v>2</v>
      </c>
      <c r="AM370" s="9"/>
    </row>
    <row r="371" spans="1:39" ht="24.95" customHeight="1">
      <c r="A371" s="10" t="s">
        <v>408</v>
      </c>
      <c r="B371" s="8">
        <v>0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8"/>
      <c r="N371" s="8"/>
      <c r="O371" s="8"/>
      <c r="P371" s="8"/>
      <c r="Q371" s="8"/>
      <c r="R371" s="8"/>
      <c r="S371" s="8"/>
      <c r="T371" s="8"/>
      <c r="U371" s="18"/>
      <c r="V371" s="18"/>
      <c r="W371" s="18"/>
      <c r="X371" s="18"/>
      <c r="Y371" s="18"/>
      <c r="Z371" s="8"/>
      <c r="AA371" s="18">
        <f>+Z372*2</f>
        <v>0</v>
      </c>
      <c r="AB371" s="18"/>
      <c r="AC371" s="8">
        <f t="shared" si="19"/>
        <v>0</v>
      </c>
      <c r="AD371" s="18"/>
      <c r="AE371" s="18"/>
      <c r="AF371" s="8"/>
      <c r="AG371" s="18"/>
      <c r="AH371" s="8"/>
      <c r="AI371" s="8"/>
      <c r="AJ371" s="8"/>
      <c r="AK371" s="8">
        <f t="shared" si="16"/>
        <v>0</v>
      </c>
      <c r="AL371" s="8">
        <f t="shared" si="17"/>
        <v>0</v>
      </c>
      <c r="AM371" s="9"/>
    </row>
    <row r="372" spans="1:39" ht="24.95" customHeight="1">
      <c r="A372" s="10" t="s">
        <v>409</v>
      </c>
      <c r="B372" s="8">
        <v>0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8"/>
      <c r="N372" s="8"/>
      <c r="O372" s="8"/>
      <c r="P372" s="8"/>
      <c r="Q372" s="8"/>
      <c r="R372" s="8"/>
      <c r="S372" s="8"/>
      <c r="T372" s="8"/>
      <c r="U372" s="18"/>
      <c r="V372" s="18"/>
      <c r="W372" s="18"/>
      <c r="X372" s="18"/>
      <c r="Y372" s="18"/>
      <c r="Z372" s="8"/>
      <c r="AA372" s="18"/>
      <c r="AB372" s="18"/>
      <c r="AC372" s="8">
        <f t="shared" si="19"/>
        <v>0</v>
      </c>
      <c r="AD372" s="18"/>
      <c r="AE372" s="18"/>
      <c r="AF372" s="8"/>
      <c r="AG372" s="18"/>
      <c r="AH372" s="8"/>
      <c r="AI372" s="8"/>
      <c r="AJ372" s="8"/>
      <c r="AK372" s="8">
        <f t="shared" si="16"/>
        <v>0</v>
      </c>
      <c r="AL372" s="8">
        <f t="shared" si="17"/>
        <v>0</v>
      </c>
      <c r="AM372" s="9"/>
    </row>
    <row r="373" spans="1:39" ht="24.95" customHeight="1">
      <c r="A373" s="10" t="s">
        <v>410</v>
      </c>
      <c r="B373" s="8">
        <v>0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8"/>
      <c r="N373" s="8"/>
      <c r="O373" s="8"/>
      <c r="P373" s="8"/>
      <c r="Q373" s="8"/>
      <c r="R373" s="8"/>
      <c r="S373" s="8"/>
      <c r="T373" s="8"/>
      <c r="U373" s="18"/>
      <c r="V373" s="18"/>
      <c r="W373" s="18"/>
      <c r="X373" s="18">
        <f>+Y374*2</f>
        <v>0</v>
      </c>
      <c r="Y373" s="18"/>
      <c r="Z373" s="8"/>
      <c r="AA373" s="18"/>
      <c r="AB373" s="18"/>
      <c r="AC373" s="8">
        <f t="shared" si="19"/>
        <v>0</v>
      </c>
      <c r="AD373" s="18"/>
      <c r="AE373" s="18"/>
      <c r="AF373" s="8"/>
      <c r="AG373" s="18"/>
      <c r="AH373" s="8"/>
      <c r="AI373" s="8"/>
      <c r="AJ373" s="8"/>
      <c r="AK373" s="8">
        <f t="shared" si="16"/>
        <v>0</v>
      </c>
      <c r="AL373" s="8">
        <f t="shared" si="17"/>
        <v>0</v>
      </c>
      <c r="AM373" s="9"/>
    </row>
    <row r="374" spans="1:39" ht="24.95" customHeight="1">
      <c r="A374" s="10" t="s">
        <v>411</v>
      </c>
      <c r="B374" s="8">
        <v>0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8"/>
      <c r="N374" s="8"/>
      <c r="O374" s="8"/>
      <c r="P374" s="8"/>
      <c r="Q374" s="8"/>
      <c r="R374" s="8"/>
      <c r="S374" s="8"/>
      <c r="T374" s="8"/>
      <c r="U374" s="18"/>
      <c r="V374" s="18"/>
      <c r="W374" s="18"/>
      <c r="X374" s="18"/>
      <c r="Y374" s="18"/>
      <c r="Z374" s="8"/>
      <c r="AA374" s="18"/>
      <c r="AB374" s="18"/>
      <c r="AC374" s="8">
        <f t="shared" si="19"/>
        <v>0</v>
      </c>
      <c r="AD374" s="18"/>
      <c r="AE374" s="18"/>
      <c r="AF374" s="8"/>
      <c r="AG374" s="18"/>
      <c r="AH374" s="8"/>
      <c r="AI374" s="8"/>
      <c r="AJ374" s="8"/>
      <c r="AK374" s="8">
        <f t="shared" si="16"/>
        <v>0</v>
      </c>
      <c r="AL374" s="8">
        <f t="shared" si="17"/>
        <v>0</v>
      </c>
      <c r="AM374" s="9"/>
    </row>
    <row r="375" spans="1:39" ht="24.95" customHeight="1">
      <c r="A375" s="10" t="s">
        <v>412</v>
      </c>
      <c r="B375" s="8">
        <v>0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8"/>
      <c r="N375" s="8"/>
      <c r="O375" s="8"/>
      <c r="P375" s="8"/>
      <c r="Q375" s="8"/>
      <c r="R375" s="8"/>
      <c r="S375" s="8"/>
      <c r="T375" s="8"/>
      <c r="U375" s="18"/>
      <c r="V375" s="18"/>
      <c r="W375" s="18"/>
      <c r="X375" s="18">
        <f>+Y376*2</f>
        <v>0</v>
      </c>
      <c r="Y375" s="18"/>
      <c r="Z375" s="8"/>
      <c r="AA375" s="18"/>
      <c r="AB375" s="18"/>
      <c r="AC375" s="8">
        <f t="shared" si="19"/>
        <v>0</v>
      </c>
      <c r="AD375" s="18"/>
      <c r="AE375" s="18"/>
      <c r="AF375" s="8"/>
      <c r="AG375" s="18"/>
      <c r="AH375" s="8"/>
      <c r="AI375" s="8"/>
      <c r="AJ375" s="8"/>
      <c r="AK375" s="8">
        <f t="shared" si="16"/>
        <v>0</v>
      </c>
      <c r="AL375" s="8">
        <f t="shared" si="17"/>
        <v>0</v>
      </c>
      <c r="AM375" s="9"/>
    </row>
    <row r="376" spans="1:39" ht="24.95" customHeight="1">
      <c r="A376" s="10" t="s">
        <v>413</v>
      </c>
      <c r="B376" s="8">
        <v>0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8"/>
      <c r="N376" s="8"/>
      <c r="O376" s="8"/>
      <c r="P376" s="8"/>
      <c r="Q376" s="8"/>
      <c r="R376" s="8"/>
      <c r="S376" s="8"/>
      <c r="T376" s="8"/>
      <c r="U376" s="18"/>
      <c r="V376" s="18"/>
      <c r="W376" s="18"/>
      <c r="X376" s="18"/>
      <c r="Y376" s="18"/>
      <c r="Z376" s="8"/>
      <c r="AA376" s="18"/>
      <c r="AB376" s="18"/>
      <c r="AC376" s="8">
        <f t="shared" si="19"/>
        <v>0</v>
      </c>
      <c r="AD376" s="18"/>
      <c r="AE376" s="18"/>
      <c r="AF376" s="8"/>
      <c r="AG376" s="18"/>
      <c r="AH376" s="8"/>
      <c r="AI376" s="8"/>
      <c r="AJ376" s="8"/>
      <c r="AK376" s="8">
        <f t="shared" si="16"/>
        <v>0</v>
      </c>
      <c r="AL376" s="8">
        <f t="shared" si="17"/>
        <v>0</v>
      </c>
      <c r="AM376" s="9"/>
    </row>
    <row r="377" spans="1:39" ht="24.95" customHeight="1">
      <c r="A377" s="10" t="s">
        <v>414</v>
      </c>
      <c r="B377" s="8">
        <v>9897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8"/>
      <c r="N377" s="8"/>
      <c r="O377" s="8"/>
      <c r="P377" s="8"/>
      <c r="Q377" s="8"/>
      <c r="R377" s="8"/>
      <c r="S377" s="8"/>
      <c r="T377" s="8"/>
      <c r="U377" s="18"/>
      <c r="V377" s="18"/>
      <c r="W377" s="18"/>
      <c r="X377" s="18"/>
      <c r="Y377" s="18"/>
      <c r="Z377" s="8"/>
      <c r="AA377" s="18"/>
      <c r="AB377" s="18"/>
      <c r="AC377" s="8">
        <f t="shared" si="19"/>
        <v>0</v>
      </c>
      <c r="AD377" s="18"/>
      <c r="AE377" s="18"/>
      <c r="AF377" s="8"/>
      <c r="AG377" s="18"/>
      <c r="AH377" s="8"/>
      <c r="AI377" s="8"/>
      <c r="AJ377" s="8">
        <v>6</v>
      </c>
      <c r="AK377" s="8">
        <f t="shared" si="16"/>
        <v>-6</v>
      </c>
      <c r="AL377" s="8">
        <f t="shared" si="17"/>
        <v>9891</v>
      </c>
      <c r="AM377" s="9"/>
    </row>
    <row r="378" spans="1:39" ht="24.95" customHeight="1">
      <c r="A378" s="10" t="s">
        <v>415</v>
      </c>
      <c r="B378" s="8">
        <v>1293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8"/>
      <c r="N378" s="8"/>
      <c r="O378" s="8"/>
      <c r="P378" s="8"/>
      <c r="Q378" s="8"/>
      <c r="R378" s="8"/>
      <c r="S378" s="8"/>
      <c r="T378" s="8"/>
      <c r="U378" s="18"/>
      <c r="V378" s="18"/>
      <c r="W378" s="18"/>
      <c r="X378" s="18"/>
      <c r="Y378" s="18"/>
      <c r="Z378" s="8"/>
      <c r="AA378" s="18"/>
      <c r="AB378" s="18"/>
      <c r="AC378" s="8">
        <f t="shared" si="19"/>
        <v>0</v>
      </c>
      <c r="AD378" s="18"/>
      <c r="AE378" s="18"/>
      <c r="AF378" s="8"/>
      <c r="AG378" s="18"/>
      <c r="AH378" s="8"/>
      <c r="AI378" s="8"/>
      <c r="AJ378" s="8"/>
      <c r="AK378" s="8">
        <f t="shared" si="16"/>
        <v>0</v>
      </c>
      <c r="AL378" s="8">
        <f t="shared" si="17"/>
        <v>1293</v>
      </c>
      <c r="AM378" s="9"/>
    </row>
    <row r="379" spans="1:39" ht="24.95" customHeight="1">
      <c r="A379" s="10" t="s">
        <v>416</v>
      </c>
      <c r="B379" s="8">
        <v>0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8"/>
      <c r="N379" s="8"/>
      <c r="O379" s="8"/>
      <c r="P379" s="8"/>
      <c r="Q379" s="8"/>
      <c r="R379" s="8"/>
      <c r="S379" s="8"/>
      <c r="T379" s="8"/>
      <c r="U379" s="18"/>
      <c r="V379" s="18"/>
      <c r="W379" s="18"/>
      <c r="X379" s="18"/>
      <c r="Y379" s="18"/>
      <c r="Z379" s="8"/>
      <c r="AA379" s="18"/>
      <c r="AB379" s="18"/>
      <c r="AC379" s="8">
        <f t="shared" si="19"/>
        <v>0</v>
      </c>
      <c r="AD379" s="18"/>
      <c r="AE379" s="18"/>
      <c r="AF379" s="8"/>
      <c r="AG379" s="18"/>
      <c r="AH379" s="8"/>
      <c r="AI379" s="8"/>
      <c r="AJ379" s="8"/>
      <c r="AK379" s="8">
        <f t="shared" si="16"/>
        <v>0</v>
      </c>
      <c r="AL379" s="8">
        <f t="shared" si="17"/>
        <v>0</v>
      </c>
      <c r="AM379" s="9"/>
    </row>
    <row r="380" spans="1:39" ht="24.95" customHeight="1">
      <c r="A380" s="10" t="s">
        <v>417</v>
      </c>
      <c r="B380" s="8">
        <v>0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8"/>
      <c r="N380" s="8"/>
      <c r="O380" s="8"/>
      <c r="P380" s="8"/>
      <c r="Q380" s="8"/>
      <c r="R380" s="8"/>
      <c r="S380" s="8"/>
      <c r="T380" s="8"/>
      <c r="U380" s="18"/>
      <c r="V380" s="18"/>
      <c r="W380" s="18"/>
      <c r="X380" s="18"/>
      <c r="Y380" s="18"/>
      <c r="Z380" s="8"/>
      <c r="AA380" s="18"/>
      <c r="AB380" s="18"/>
      <c r="AC380" s="8"/>
      <c r="AD380" s="18"/>
      <c r="AE380" s="18"/>
      <c r="AF380" s="8"/>
      <c r="AG380" s="18"/>
      <c r="AH380" s="8"/>
      <c r="AI380" s="8"/>
      <c r="AJ380" s="8"/>
      <c r="AK380" s="8">
        <f t="shared" si="16"/>
        <v>0</v>
      </c>
      <c r="AL380" s="8">
        <f t="shared" si="17"/>
        <v>0</v>
      </c>
      <c r="AM380" s="9"/>
    </row>
    <row r="381" spans="1:39" ht="24.95" customHeight="1">
      <c r="A381" s="10" t="s">
        <v>418</v>
      </c>
      <c r="B381" s="8">
        <v>726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8"/>
      <c r="N381" s="8"/>
      <c r="O381" s="8"/>
      <c r="P381" s="8"/>
      <c r="Q381" s="8"/>
      <c r="R381" s="8"/>
      <c r="S381" s="8"/>
      <c r="T381" s="8"/>
      <c r="U381" s="18"/>
      <c r="V381" s="18"/>
      <c r="W381" s="18"/>
      <c r="X381" s="18"/>
      <c r="Y381" s="18"/>
      <c r="Z381" s="8"/>
      <c r="AA381" s="18">
        <f>+Z382*2</f>
        <v>0</v>
      </c>
      <c r="AB381" s="18"/>
      <c r="AC381" s="8">
        <f t="shared" ref="AC381:AC397" si="20">+AB381</f>
        <v>0</v>
      </c>
      <c r="AD381" s="18"/>
      <c r="AE381" s="18"/>
      <c r="AF381" s="8"/>
      <c r="AG381" s="18"/>
      <c r="AH381" s="8"/>
      <c r="AI381" s="8"/>
      <c r="AJ381" s="8"/>
      <c r="AK381" s="8">
        <f t="shared" si="16"/>
        <v>0</v>
      </c>
      <c r="AL381" s="8">
        <f t="shared" si="17"/>
        <v>726</v>
      </c>
      <c r="AM381" s="9"/>
    </row>
    <row r="382" spans="1:39" ht="24.95" customHeight="1">
      <c r="A382" s="10" t="s">
        <v>419</v>
      </c>
      <c r="B382" s="8">
        <v>0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8"/>
      <c r="N382" s="8"/>
      <c r="O382" s="8"/>
      <c r="P382" s="8"/>
      <c r="Q382" s="8"/>
      <c r="R382" s="8"/>
      <c r="S382" s="8"/>
      <c r="T382" s="8"/>
      <c r="U382" s="18"/>
      <c r="V382" s="18"/>
      <c r="W382" s="18"/>
      <c r="X382" s="18"/>
      <c r="Y382" s="18"/>
      <c r="Z382" s="8"/>
      <c r="AA382" s="18"/>
      <c r="AB382" s="18"/>
      <c r="AC382" s="8">
        <f t="shared" si="20"/>
        <v>0</v>
      </c>
      <c r="AD382" s="18"/>
      <c r="AE382" s="18"/>
      <c r="AF382" s="8"/>
      <c r="AG382" s="18"/>
      <c r="AH382" s="8"/>
      <c r="AI382" s="8"/>
      <c r="AJ382" s="8"/>
      <c r="AK382" s="8">
        <f t="shared" si="16"/>
        <v>0</v>
      </c>
      <c r="AL382" s="8">
        <f t="shared" si="17"/>
        <v>0</v>
      </c>
      <c r="AM382" s="9"/>
    </row>
    <row r="383" spans="1:39" ht="24.95" customHeight="1">
      <c r="A383" s="10" t="s">
        <v>420</v>
      </c>
      <c r="B383" s="8">
        <v>200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8"/>
      <c r="N383" s="8"/>
      <c r="O383" s="8"/>
      <c r="P383" s="8"/>
      <c r="Q383" s="8"/>
      <c r="R383" s="8"/>
      <c r="S383" s="8"/>
      <c r="T383" s="8"/>
      <c r="U383" s="18"/>
      <c r="V383" s="18"/>
      <c r="W383" s="18"/>
      <c r="X383" s="18"/>
      <c r="Y383" s="18"/>
      <c r="Z383" s="8"/>
      <c r="AA383" s="18"/>
      <c r="AB383" s="18"/>
      <c r="AC383" s="8">
        <f t="shared" si="20"/>
        <v>0</v>
      </c>
      <c r="AD383" s="18"/>
      <c r="AE383" s="18"/>
      <c r="AF383" s="8"/>
      <c r="AG383" s="18"/>
      <c r="AH383" s="8"/>
      <c r="AI383" s="8"/>
      <c r="AJ383" s="8"/>
      <c r="AK383" s="8">
        <f t="shared" si="16"/>
        <v>0</v>
      </c>
      <c r="AL383" s="8">
        <f t="shared" si="17"/>
        <v>200</v>
      </c>
      <c r="AM383" s="9"/>
    </row>
    <row r="384" spans="1:39" ht="24.95" customHeight="1">
      <c r="A384" s="10" t="s">
        <v>421</v>
      </c>
      <c r="B384" s="8">
        <v>6457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8"/>
      <c r="N384" s="8"/>
      <c r="O384" s="8"/>
      <c r="P384" s="8"/>
      <c r="Q384" s="8"/>
      <c r="R384" s="8"/>
      <c r="S384" s="8"/>
      <c r="T384" s="8"/>
      <c r="U384" s="18"/>
      <c r="V384" s="18"/>
      <c r="W384" s="18"/>
      <c r="X384" s="18"/>
      <c r="Y384" s="18"/>
      <c r="Z384" s="8"/>
      <c r="AA384" s="18"/>
      <c r="AB384" s="18"/>
      <c r="AC384" s="8">
        <f t="shared" si="20"/>
        <v>0</v>
      </c>
      <c r="AD384" s="18"/>
      <c r="AE384" s="18"/>
      <c r="AF384" s="8"/>
      <c r="AG384" s="18"/>
      <c r="AH384" s="8"/>
      <c r="AI384" s="8"/>
      <c r="AJ384" s="8">
        <v>1</v>
      </c>
      <c r="AK384" s="8">
        <f t="shared" si="16"/>
        <v>-1</v>
      </c>
      <c r="AL384" s="8">
        <f t="shared" si="17"/>
        <v>6456</v>
      </c>
      <c r="AM384" s="9"/>
    </row>
    <row r="385" spans="1:39" ht="24.95" customHeight="1">
      <c r="A385" s="10" t="s">
        <v>422</v>
      </c>
      <c r="B385" s="8">
        <v>1513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8"/>
      <c r="N385" s="8"/>
      <c r="O385" s="8"/>
      <c r="P385" s="8"/>
      <c r="Q385" s="8"/>
      <c r="R385" s="8"/>
      <c r="S385" s="8"/>
      <c r="T385" s="8"/>
      <c r="U385" s="18"/>
      <c r="V385" s="18"/>
      <c r="W385" s="18"/>
      <c r="X385" s="18"/>
      <c r="Y385" s="18"/>
      <c r="Z385" s="8"/>
      <c r="AA385" s="18"/>
      <c r="AB385" s="18"/>
      <c r="AC385" s="8">
        <f t="shared" si="20"/>
        <v>0</v>
      </c>
      <c r="AD385" s="18"/>
      <c r="AE385" s="18">
        <f>+AD385</f>
        <v>0</v>
      </c>
      <c r="AF385" s="8"/>
      <c r="AG385" s="18"/>
      <c r="AH385" s="8"/>
      <c r="AI385" s="8"/>
      <c r="AJ385" s="8"/>
      <c r="AK385" s="8">
        <f t="shared" si="16"/>
        <v>0</v>
      </c>
      <c r="AL385" s="8">
        <f t="shared" si="17"/>
        <v>1513</v>
      </c>
      <c r="AM385" s="9"/>
    </row>
    <row r="386" spans="1:39" ht="24.95" customHeight="1">
      <c r="A386" s="10" t="s">
        <v>423</v>
      </c>
      <c r="B386" s="8">
        <v>5119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8"/>
      <c r="N386" s="8"/>
      <c r="O386" s="8"/>
      <c r="P386" s="8"/>
      <c r="Q386" s="8"/>
      <c r="R386" s="8"/>
      <c r="S386" s="8"/>
      <c r="T386" s="8"/>
      <c r="U386" s="18"/>
      <c r="V386" s="18"/>
      <c r="W386" s="18"/>
      <c r="X386" s="18"/>
      <c r="Y386" s="18"/>
      <c r="Z386" s="8"/>
      <c r="AA386" s="18"/>
      <c r="AB386" s="18"/>
      <c r="AC386" s="8">
        <f t="shared" si="20"/>
        <v>0</v>
      </c>
      <c r="AD386" s="18"/>
      <c r="AE386" s="18"/>
      <c r="AF386" s="8"/>
      <c r="AG386" s="18"/>
      <c r="AH386" s="8"/>
      <c r="AI386" s="8"/>
      <c r="AJ386" s="8">
        <v>3</v>
      </c>
      <c r="AK386" s="8">
        <f t="shared" ref="AK386:AK451" si="21">SUM((D386+P386+G386+L386+S386+X386+Z386+AD386+M386+J386+V386+AB386+F386+AG386+O386+AI386)+(-N386-E386-R386-Q386-T386-Y386-AA386-AE386-AJ386-K386-I386-H386-U386-AC386-AF386-AH386-W386))</f>
        <v>-3</v>
      </c>
      <c r="AL386" s="8">
        <f t="shared" ref="AL386:AL451" si="22">B386+AK386</f>
        <v>5116</v>
      </c>
      <c r="AM386" s="9"/>
    </row>
    <row r="387" spans="1:39" ht="24.95" customHeight="1">
      <c r="A387" s="10" t="s">
        <v>424</v>
      </c>
      <c r="B387" s="8">
        <v>12060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8"/>
      <c r="N387" s="8"/>
      <c r="O387" s="8"/>
      <c r="P387" s="8"/>
      <c r="Q387" s="8"/>
      <c r="R387" s="8"/>
      <c r="S387" s="8"/>
      <c r="T387" s="8"/>
      <c r="U387" s="18"/>
      <c r="V387" s="18"/>
      <c r="W387" s="18"/>
      <c r="X387" s="18"/>
      <c r="Y387" s="18"/>
      <c r="Z387" s="8"/>
      <c r="AA387" s="18"/>
      <c r="AB387" s="18"/>
      <c r="AC387" s="8">
        <f t="shared" si="20"/>
        <v>0</v>
      </c>
      <c r="AD387" s="18"/>
      <c r="AE387" s="18"/>
      <c r="AF387" s="8"/>
      <c r="AG387" s="18"/>
      <c r="AH387" s="8"/>
      <c r="AI387" s="8"/>
      <c r="AJ387" s="8"/>
      <c r="AK387" s="8">
        <f t="shared" si="21"/>
        <v>0</v>
      </c>
      <c r="AL387" s="8">
        <f t="shared" si="22"/>
        <v>12060</v>
      </c>
      <c r="AM387" s="9"/>
    </row>
    <row r="388" spans="1:39" ht="24.95" customHeight="1">
      <c r="A388" s="10" t="s">
        <v>425</v>
      </c>
      <c r="B388" s="8">
        <v>12060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8"/>
      <c r="N388" s="8"/>
      <c r="O388" s="8"/>
      <c r="P388" s="8"/>
      <c r="Q388" s="8"/>
      <c r="R388" s="8"/>
      <c r="S388" s="8"/>
      <c r="T388" s="8"/>
      <c r="U388" s="18"/>
      <c r="V388" s="18"/>
      <c r="W388" s="18"/>
      <c r="X388" s="18"/>
      <c r="Y388" s="18"/>
      <c r="Z388" s="8"/>
      <c r="AA388" s="18"/>
      <c r="AB388" s="18"/>
      <c r="AC388" s="8">
        <f t="shared" si="20"/>
        <v>0</v>
      </c>
      <c r="AD388" s="18"/>
      <c r="AE388" s="18"/>
      <c r="AF388" s="8"/>
      <c r="AG388" s="18"/>
      <c r="AH388" s="8"/>
      <c r="AI388" s="8"/>
      <c r="AJ388" s="8"/>
      <c r="AK388" s="8">
        <f t="shared" si="21"/>
        <v>0</v>
      </c>
      <c r="AL388" s="8">
        <f t="shared" si="22"/>
        <v>12060</v>
      </c>
      <c r="AM388" s="9"/>
    </row>
    <row r="389" spans="1:39" ht="24.95" customHeight="1">
      <c r="A389" s="10" t="s">
        <v>426</v>
      </c>
      <c r="B389" s="8">
        <v>115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8"/>
      <c r="N389" s="8"/>
      <c r="O389" s="8"/>
      <c r="P389" s="8"/>
      <c r="Q389" s="8"/>
      <c r="R389" s="8"/>
      <c r="S389" s="8"/>
      <c r="T389" s="8"/>
      <c r="U389" s="18"/>
      <c r="V389" s="18"/>
      <c r="W389" s="18"/>
      <c r="X389" s="18">
        <f>Y390*2</f>
        <v>0</v>
      </c>
      <c r="Y389" s="18"/>
      <c r="Z389" s="8"/>
      <c r="AA389" s="18">
        <f>+Z390*2</f>
        <v>0</v>
      </c>
      <c r="AB389" s="18"/>
      <c r="AC389" s="8">
        <f t="shared" si="20"/>
        <v>0</v>
      </c>
      <c r="AD389" s="18"/>
      <c r="AE389" s="18"/>
      <c r="AF389" s="8"/>
      <c r="AG389" s="18"/>
      <c r="AH389" s="8"/>
      <c r="AI389" s="8"/>
      <c r="AJ389" s="8">
        <v>11</v>
      </c>
      <c r="AK389" s="8">
        <f t="shared" si="21"/>
        <v>-11</v>
      </c>
      <c r="AL389" s="8">
        <f t="shared" si="22"/>
        <v>104</v>
      </c>
      <c r="AM389" s="9"/>
    </row>
    <row r="390" spans="1:39" ht="24.95" customHeight="1">
      <c r="A390" s="10" t="s">
        <v>427</v>
      </c>
      <c r="B390" s="8">
        <v>0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8"/>
      <c r="N390" s="8"/>
      <c r="O390" s="8"/>
      <c r="P390" s="8"/>
      <c r="Q390" s="8"/>
      <c r="R390" s="8"/>
      <c r="S390" s="8"/>
      <c r="T390" s="8"/>
      <c r="U390" s="18"/>
      <c r="V390" s="18"/>
      <c r="W390" s="18"/>
      <c r="X390" s="18"/>
      <c r="Y390" s="18"/>
      <c r="Z390" s="8"/>
      <c r="AA390" s="18"/>
      <c r="AB390" s="18"/>
      <c r="AC390" s="8">
        <f t="shared" si="20"/>
        <v>0</v>
      </c>
      <c r="AD390" s="18"/>
      <c r="AE390" s="18"/>
      <c r="AF390" s="8"/>
      <c r="AG390" s="18"/>
      <c r="AH390" s="8"/>
      <c r="AI390" s="8"/>
      <c r="AJ390" s="8"/>
      <c r="AK390" s="8">
        <f t="shared" si="21"/>
        <v>0</v>
      </c>
      <c r="AL390" s="8">
        <f t="shared" si="22"/>
        <v>0</v>
      </c>
      <c r="AM390" s="9"/>
    </row>
    <row r="391" spans="1:39" ht="24.95" customHeight="1">
      <c r="A391" s="10" t="s">
        <v>428</v>
      </c>
      <c r="B391" s="8">
        <v>931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8"/>
      <c r="N391" s="8"/>
      <c r="O391" s="8"/>
      <c r="P391" s="8"/>
      <c r="Q391" s="8"/>
      <c r="R391" s="8"/>
      <c r="S391" s="8"/>
      <c r="T391" s="8"/>
      <c r="U391" s="18"/>
      <c r="V391" s="18"/>
      <c r="W391" s="18"/>
      <c r="X391" s="18"/>
      <c r="Y391" s="18"/>
      <c r="Z391" s="8"/>
      <c r="AA391" s="18">
        <f>+Z392*2</f>
        <v>0</v>
      </c>
      <c r="AB391" s="18"/>
      <c r="AC391" s="8">
        <f t="shared" si="20"/>
        <v>0</v>
      </c>
      <c r="AD391" s="18"/>
      <c r="AE391" s="18"/>
      <c r="AF391" s="8"/>
      <c r="AG391" s="18"/>
      <c r="AH391" s="8"/>
      <c r="AI391" s="8"/>
      <c r="AJ391" s="8"/>
      <c r="AK391" s="8">
        <f t="shared" si="21"/>
        <v>0</v>
      </c>
      <c r="AL391" s="8">
        <f t="shared" si="22"/>
        <v>931</v>
      </c>
      <c r="AM391" s="9"/>
    </row>
    <row r="392" spans="1:39" ht="24.95" customHeight="1">
      <c r="A392" s="10" t="s">
        <v>429</v>
      </c>
      <c r="B392" s="8">
        <v>0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8"/>
      <c r="N392" s="8"/>
      <c r="O392" s="8"/>
      <c r="P392" s="8"/>
      <c r="Q392" s="8"/>
      <c r="R392" s="8"/>
      <c r="S392" s="8"/>
      <c r="T392" s="8"/>
      <c r="U392" s="18"/>
      <c r="V392" s="18"/>
      <c r="W392" s="18"/>
      <c r="X392" s="18"/>
      <c r="Y392" s="18"/>
      <c r="Z392" s="8"/>
      <c r="AA392" s="18"/>
      <c r="AB392" s="18"/>
      <c r="AC392" s="8">
        <f t="shared" si="20"/>
        <v>0</v>
      </c>
      <c r="AD392" s="18"/>
      <c r="AE392" s="18"/>
      <c r="AF392" s="8"/>
      <c r="AG392" s="18"/>
      <c r="AH392" s="8"/>
      <c r="AI392" s="8"/>
      <c r="AJ392" s="8"/>
      <c r="AK392" s="8">
        <f t="shared" si="21"/>
        <v>0</v>
      </c>
      <c r="AL392" s="8">
        <f t="shared" si="22"/>
        <v>0</v>
      </c>
      <c r="AM392" s="9"/>
    </row>
    <row r="393" spans="1:39" ht="24.95" customHeight="1">
      <c r="A393" s="10" t="s">
        <v>430</v>
      </c>
      <c r="B393" s="8">
        <v>6330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8"/>
      <c r="N393" s="8"/>
      <c r="O393" s="8"/>
      <c r="P393" s="8"/>
      <c r="Q393" s="8"/>
      <c r="R393" s="8"/>
      <c r="S393" s="8"/>
      <c r="T393" s="8"/>
      <c r="U393" s="18"/>
      <c r="V393" s="18"/>
      <c r="W393" s="18"/>
      <c r="X393" s="18"/>
      <c r="Y393" s="18"/>
      <c r="Z393" s="8"/>
      <c r="AA393" s="18">
        <f>+Z394*2</f>
        <v>0</v>
      </c>
      <c r="AB393" s="18"/>
      <c r="AC393" s="8">
        <f t="shared" si="20"/>
        <v>0</v>
      </c>
      <c r="AD393" s="18"/>
      <c r="AE393" s="18"/>
      <c r="AF393" s="8"/>
      <c r="AG393" s="18"/>
      <c r="AH393" s="8"/>
      <c r="AI393" s="8"/>
      <c r="AJ393" s="8">
        <v>2</v>
      </c>
      <c r="AK393" s="8">
        <f t="shared" si="21"/>
        <v>-2</v>
      </c>
      <c r="AL393" s="8">
        <f t="shared" si="22"/>
        <v>6328</v>
      </c>
      <c r="AM393" s="9"/>
    </row>
    <row r="394" spans="1:39" ht="24.95" customHeight="1">
      <c r="A394" s="10" t="s">
        <v>431</v>
      </c>
      <c r="B394" s="8">
        <v>0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8"/>
      <c r="N394" s="8"/>
      <c r="O394" s="8"/>
      <c r="P394" s="8"/>
      <c r="Q394" s="8"/>
      <c r="R394" s="8"/>
      <c r="S394" s="8"/>
      <c r="T394" s="8"/>
      <c r="U394" s="18"/>
      <c r="V394" s="18"/>
      <c r="W394" s="18"/>
      <c r="X394" s="18"/>
      <c r="Y394" s="18"/>
      <c r="Z394" s="8"/>
      <c r="AA394" s="18"/>
      <c r="AB394" s="18"/>
      <c r="AC394" s="8">
        <f t="shared" si="20"/>
        <v>0</v>
      </c>
      <c r="AD394" s="18"/>
      <c r="AE394" s="18"/>
      <c r="AF394" s="8"/>
      <c r="AG394" s="18"/>
      <c r="AH394" s="8"/>
      <c r="AI394" s="8"/>
      <c r="AJ394" s="8"/>
      <c r="AK394" s="8">
        <f t="shared" si="21"/>
        <v>0</v>
      </c>
      <c r="AL394" s="8">
        <f t="shared" si="22"/>
        <v>0</v>
      </c>
      <c r="AM394" s="9"/>
    </row>
    <row r="395" spans="1:39" ht="24.95" customHeight="1">
      <c r="A395" s="10" t="s">
        <v>432</v>
      </c>
      <c r="B395" s="8">
        <v>3765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8"/>
      <c r="N395" s="8"/>
      <c r="O395" s="8"/>
      <c r="P395" s="8"/>
      <c r="Q395" s="8"/>
      <c r="R395" s="8"/>
      <c r="S395" s="8"/>
      <c r="T395" s="8"/>
      <c r="U395" s="18"/>
      <c r="V395" s="18"/>
      <c r="W395" s="18"/>
      <c r="X395" s="18"/>
      <c r="Y395" s="18"/>
      <c r="Z395" s="8"/>
      <c r="AA395" s="18">
        <f>+Z396*2</f>
        <v>0</v>
      </c>
      <c r="AB395" s="18"/>
      <c r="AC395" s="8">
        <f t="shared" si="20"/>
        <v>0</v>
      </c>
      <c r="AD395" s="18"/>
      <c r="AE395" s="18"/>
      <c r="AF395" s="8"/>
      <c r="AG395" s="18"/>
      <c r="AH395" s="8"/>
      <c r="AI395" s="8"/>
      <c r="AJ395" s="8">
        <v>175</v>
      </c>
      <c r="AK395" s="8">
        <f t="shared" si="21"/>
        <v>-175</v>
      </c>
      <c r="AL395" s="8">
        <f t="shared" si="22"/>
        <v>3590</v>
      </c>
      <c r="AM395" s="9"/>
    </row>
    <row r="396" spans="1:39" ht="24.95" customHeight="1">
      <c r="A396" s="10" t="s">
        <v>433</v>
      </c>
      <c r="B396" s="8">
        <v>0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8"/>
      <c r="N396" s="8"/>
      <c r="O396" s="8"/>
      <c r="P396" s="8"/>
      <c r="Q396" s="8"/>
      <c r="R396" s="8"/>
      <c r="S396" s="8"/>
      <c r="T396" s="8"/>
      <c r="U396" s="18"/>
      <c r="V396" s="18"/>
      <c r="W396" s="18"/>
      <c r="X396" s="18"/>
      <c r="Y396" s="18"/>
      <c r="Z396" s="8"/>
      <c r="AA396" s="18"/>
      <c r="AB396" s="18"/>
      <c r="AC396" s="8">
        <f t="shared" si="20"/>
        <v>0</v>
      </c>
      <c r="AD396" s="18"/>
      <c r="AE396" s="18"/>
      <c r="AF396" s="8"/>
      <c r="AG396" s="18"/>
      <c r="AH396" s="8"/>
      <c r="AI396" s="8"/>
      <c r="AJ396" s="8"/>
      <c r="AK396" s="8">
        <f t="shared" si="21"/>
        <v>0</v>
      </c>
      <c r="AL396" s="8">
        <f t="shared" si="22"/>
        <v>0</v>
      </c>
      <c r="AM396" s="9"/>
    </row>
    <row r="397" spans="1:39" ht="24.95" customHeight="1">
      <c r="A397" s="10" t="s">
        <v>434</v>
      </c>
      <c r="B397" s="8">
        <v>64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8"/>
      <c r="N397" s="8"/>
      <c r="O397" s="8"/>
      <c r="P397" s="8"/>
      <c r="Q397" s="8"/>
      <c r="R397" s="8"/>
      <c r="S397" s="8"/>
      <c r="T397" s="8"/>
      <c r="U397" s="18"/>
      <c r="V397" s="18"/>
      <c r="W397" s="18"/>
      <c r="X397" s="18"/>
      <c r="Y397" s="18"/>
      <c r="Z397" s="8"/>
      <c r="AA397" s="18">
        <f>+Z398*2</f>
        <v>8</v>
      </c>
      <c r="AB397" s="18"/>
      <c r="AC397" s="8">
        <f t="shared" si="20"/>
        <v>0</v>
      </c>
      <c r="AD397" s="18"/>
      <c r="AE397" s="18"/>
      <c r="AF397" s="8"/>
      <c r="AG397" s="18"/>
      <c r="AH397" s="8"/>
      <c r="AI397" s="8"/>
      <c r="AJ397" s="8">
        <v>7</v>
      </c>
      <c r="AK397" s="8">
        <f t="shared" si="21"/>
        <v>-15</v>
      </c>
      <c r="AL397" s="8">
        <f t="shared" si="22"/>
        <v>49</v>
      </c>
      <c r="AM397" s="9"/>
    </row>
    <row r="398" spans="1:39" ht="24.95" customHeight="1">
      <c r="A398" s="10" t="s">
        <v>435</v>
      </c>
      <c r="B398" s="8">
        <v>0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8"/>
      <c r="N398" s="8"/>
      <c r="O398" s="8"/>
      <c r="P398" s="8"/>
      <c r="Q398" s="8"/>
      <c r="R398" s="8"/>
      <c r="S398" s="8"/>
      <c r="T398" s="8"/>
      <c r="U398" s="18"/>
      <c r="V398" s="18"/>
      <c r="W398" s="18"/>
      <c r="X398" s="18"/>
      <c r="Y398" s="18"/>
      <c r="Z398" s="8">
        <v>4</v>
      </c>
      <c r="AA398" s="18"/>
      <c r="AB398" s="18"/>
      <c r="AC398" s="8"/>
      <c r="AD398" s="18"/>
      <c r="AE398" s="18"/>
      <c r="AF398" s="8"/>
      <c r="AG398" s="18"/>
      <c r="AH398" s="8"/>
      <c r="AI398" s="8"/>
      <c r="AJ398" s="8">
        <v>4</v>
      </c>
      <c r="AK398" s="8">
        <f t="shared" si="21"/>
        <v>0</v>
      </c>
      <c r="AL398" s="8">
        <f t="shared" si="22"/>
        <v>0</v>
      </c>
      <c r="AM398" s="9"/>
    </row>
    <row r="399" spans="1:39" ht="24.95" customHeight="1">
      <c r="A399" s="10" t="s">
        <v>436</v>
      </c>
      <c r="B399" s="8">
        <v>4583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8"/>
      <c r="N399" s="8"/>
      <c r="O399" s="8"/>
      <c r="P399" s="8"/>
      <c r="Q399" s="8"/>
      <c r="R399" s="8"/>
      <c r="S399" s="8"/>
      <c r="T399" s="8"/>
      <c r="U399" s="18"/>
      <c r="V399" s="18"/>
      <c r="W399" s="18"/>
      <c r="X399" s="18"/>
      <c r="Y399" s="18"/>
      <c r="Z399" s="8"/>
      <c r="AA399" s="18">
        <f>+Z400*2</f>
        <v>0</v>
      </c>
      <c r="AB399" s="18"/>
      <c r="AC399" s="8">
        <f>+AB399</f>
        <v>0</v>
      </c>
      <c r="AD399" s="18"/>
      <c r="AE399" s="18"/>
      <c r="AF399" s="8"/>
      <c r="AG399" s="18"/>
      <c r="AH399" s="8"/>
      <c r="AI399" s="8"/>
      <c r="AJ399" s="8">
        <v>4</v>
      </c>
      <c r="AK399" s="8">
        <f t="shared" si="21"/>
        <v>-4</v>
      </c>
      <c r="AL399" s="8">
        <f t="shared" si="22"/>
        <v>4579</v>
      </c>
      <c r="AM399" s="9"/>
    </row>
    <row r="400" spans="1:39" ht="24.95" customHeight="1">
      <c r="A400" s="10" t="s">
        <v>437</v>
      </c>
      <c r="B400" s="8">
        <v>0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8"/>
      <c r="N400" s="8"/>
      <c r="O400" s="8"/>
      <c r="P400" s="8"/>
      <c r="Q400" s="8"/>
      <c r="R400" s="8"/>
      <c r="S400" s="8"/>
      <c r="T400" s="8"/>
      <c r="U400" s="18"/>
      <c r="V400" s="18"/>
      <c r="W400" s="18"/>
      <c r="X400" s="18"/>
      <c r="Y400" s="18"/>
      <c r="Z400" s="8"/>
      <c r="AA400" s="18"/>
      <c r="AB400" s="18"/>
      <c r="AC400" s="8">
        <f>+AB400</f>
        <v>0</v>
      </c>
      <c r="AD400" s="18"/>
      <c r="AE400" s="18"/>
      <c r="AF400" s="8"/>
      <c r="AG400" s="18"/>
      <c r="AH400" s="8"/>
      <c r="AI400" s="8"/>
      <c r="AJ400" s="8"/>
      <c r="AK400" s="8">
        <f t="shared" si="21"/>
        <v>0</v>
      </c>
      <c r="AL400" s="8">
        <f t="shared" si="22"/>
        <v>0</v>
      </c>
      <c r="AM400" s="9"/>
    </row>
    <row r="401" spans="1:39" ht="24.95" customHeight="1">
      <c r="A401" s="10" t="s">
        <v>438</v>
      </c>
      <c r="B401" s="8">
        <v>178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8"/>
      <c r="N401" s="8"/>
      <c r="O401" s="8"/>
      <c r="P401" s="8"/>
      <c r="Q401" s="8"/>
      <c r="R401" s="8"/>
      <c r="S401" s="8"/>
      <c r="T401" s="8"/>
      <c r="U401" s="18"/>
      <c r="V401" s="18"/>
      <c r="W401" s="18"/>
      <c r="X401" s="18"/>
      <c r="Y401" s="18"/>
      <c r="Z401" s="8"/>
      <c r="AA401" s="18">
        <f>+Z402*2+Z403*3+Z404*4</f>
        <v>0</v>
      </c>
      <c r="AB401" s="18"/>
      <c r="AC401" s="8">
        <f>+AB401</f>
        <v>0</v>
      </c>
      <c r="AD401" s="18"/>
      <c r="AE401" s="18"/>
      <c r="AF401" s="8"/>
      <c r="AG401" s="18"/>
      <c r="AH401" s="8"/>
      <c r="AI401" s="8"/>
      <c r="AJ401" s="8">
        <v>43</v>
      </c>
      <c r="AK401" s="8">
        <f t="shared" si="21"/>
        <v>-43</v>
      </c>
      <c r="AL401" s="8">
        <f t="shared" si="22"/>
        <v>135</v>
      </c>
      <c r="AM401" s="9"/>
    </row>
    <row r="402" spans="1:39" ht="24.95" customHeight="1">
      <c r="A402" s="10" t="s">
        <v>439</v>
      </c>
      <c r="B402" s="8">
        <v>0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8"/>
      <c r="N402" s="8"/>
      <c r="O402" s="8"/>
      <c r="P402" s="8"/>
      <c r="Q402" s="8"/>
      <c r="R402" s="8"/>
      <c r="S402" s="8"/>
      <c r="T402" s="8"/>
      <c r="U402" s="18"/>
      <c r="V402" s="18"/>
      <c r="W402" s="18"/>
      <c r="X402" s="18"/>
      <c r="Y402" s="18"/>
      <c r="Z402" s="8"/>
      <c r="AA402" s="18"/>
      <c r="AB402" s="18"/>
      <c r="AC402" s="8"/>
      <c r="AD402" s="18"/>
      <c r="AE402" s="18"/>
      <c r="AF402" s="8"/>
      <c r="AG402" s="18"/>
      <c r="AH402" s="8"/>
      <c r="AI402" s="8"/>
      <c r="AJ402" s="8"/>
      <c r="AK402" s="8">
        <f t="shared" si="21"/>
        <v>0</v>
      </c>
      <c r="AL402" s="8">
        <f t="shared" si="22"/>
        <v>0</v>
      </c>
      <c r="AM402" s="9"/>
    </row>
    <row r="403" spans="1:39" ht="24.95" customHeight="1">
      <c r="A403" s="10" t="s">
        <v>440</v>
      </c>
      <c r="B403" s="8">
        <v>0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8"/>
      <c r="N403" s="8"/>
      <c r="O403" s="8"/>
      <c r="P403" s="8"/>
      <c r="Q403" s="8"/>
      <c r="R403" s="8"/>
      <c r="S403" s="8"/>
      <c r="T403" s="8"/>
      <c r="U403" s="18"/>
      <c r="V403" s="18"/>
      <c r="W403" s="18"/>
      <c r="X403" s="18"/>
      <c r="Y403" s="18"/>
      <c r="Z403" s="8"/>
      <c r="AA403" s="18"/>
      <c r="AB403" s="18"/>
      <c r="AC403" s="8"/>
      <c r="AD403" s="18"/>
      <c r="AE403" s="18"/>
      <c r="AF403" s="8"/>
      <c r="AG403" s="18"/>
      <c r="AH403" s="8"/>
      <c r="AI403" s="8"/>
      <c r="AJ403" s="8"/>
      <c r="AK403" s="8">
        <f t="shared" si="21"/>
        <v>0</v>
      </c>
      <c r="AL403" s="8">
        <f t="shared" si="22"/>
        <v>0</v>
      </c>
      <c r="AM403" s="9"/>
    </row>
    <row r="404" spans="1:39" ht="24.95" customHeight="1">
      <c r="A404" s="10" t="s">
        <v>441</v>
      </c>
      <c r="B404" s="8">
        <v>0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8"/>
      <c r="N404" s="8"/>
      <c r="O404" s="8"/>
      <c r="P404" s="8"/>
      <c r="Q404" s="8"/>
      <c r="R404" s="8"/>
      <c r="S404" s="8"/>
      <c r="T404" s="8"/>
      <c r="U404" s="18"/>
      <c r="V404" s="18"/>
      <c r="W404" s="18"/>
      <c r="X404" s="18"/>
      <c r="Y404" s="18"/>
      <c r="Z404" s="8"/>
      <c r="AA404" s="18"/>
      <c r="AB404" s="18"/>
      <c r="AC404" s="8"/>
      <c r="AD404" s="18"/>
      <c r="AE404" s="18"/>
      <c r="AF404" s="8"/>
      <c r="AG404" s="18"/>
      <c r="AH404" s="8"/>
      <c r="AI404" s="8"/>
      <c r="AJ404" s="8"/>
      <c r="AK404" s="8">
        <f t="shared" si="21"/>
        <v>0</v>
      </c>
      <c r="AL404" s="8">
        <f t="shared" si="22"/>
        <v>0</v>
      </c>
      <c r="AM404" s="9"/>
    </row>
    <row r="405" spans="1:39" ht="24.95" customHeight="1">
      <c r="A405" s="10" t="s">
        <v>442</v>
      </c>
      <c r="B405" s="8">
        <v>2144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8"/>
      <c r="N405" s="8"/>
      <c r="O405" s="8"/>
      <c r="P405" s="8"/>
      <c r="Q405" s="8"/>
      <c r="R405" s="8"/>
      <c r="S405" s="8"/>
      <c r="T405" s="8"/>
      <c r="U405" s="18"/>
      <c r="V405" s="18"/>
      <c r="W405" s="18"/>
      <c r="X405" s="18"/>
      <c r="Y405" s="18"/>
      <c r="Z405" s="8"/>
      <c r="AA405" s="18">
        <f>+(Z406*2)+(Z407*4)</f>
        <v>0</v>
      </c>
      <c r="AB405" s="18"/>
      <c r="AC405" s="8">
        <f t="shared" ref="AC405:AC446" si="23">+AB405</f>
        <v>0</v>
      </c>
      <c r="AD405" s="18"/>
      <c r="AE405" s="18"/>
      <c r="AF405" s="8"/>
      <c r="AG405" s="18"/>
      <c r="AH405" s="8"/>
      <c r="AI405" s="8"/>
      <c r="AJ405" s="8">
        <v>3</v>
      </c>
      <c r="AK405" s="8">
        <f t="shared" si="21"/>
        <v>-3</v>
      </c>
      <c r="AL405" s="8">
        <f t="shared" si="22"/>
        <v>2141</v>
      </c>
      <c r="AM405" s="9"/>
    </row>
    <row r="406" spans="1:39" ht="24.95" customHeight="1">
      <c r="A406" s="10" t="s">
        <v>443</v>
      </c>
      <c r="B406" s="8">
        <v>0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8"/>
      <c r="N406" s="8"/>
      <c r="O406" s="8"/>
      <c r="P406" s="8"/>
      <c r="Q406" s="8"/>
      <c r="R406" s="8"/>
      <c r="S406" s="8"/>
      <c r="T406" s="8"/>
      <c r="U406" s="18"/>
      <c r="V406" s="18"/>
      <c r="W406" s="18"/>
      <c r="X406" s="18"/>
      <c r="Y406" s="18"/>
      <c r="Z406" s="8"/>
      <c r="AA406" s="18"/>
      <c r="AB406" s="18"/>
      <c r="AC406" s="8">
        <f t="shared" si="23"/>
        <v>0</v>
      </c>
      <c r="AD406" s="18"/>
      <c r="AE406" s="18"/>
      <c r="AF406" s="8"/>
      <c r="AG406" s="18"/>
      <c r="AH406" s="8"/>
      <c r="AI406" s="8"/>
      <c r="AJ406" s="8"/>
      <c r="AK406" s="8">
        <f t="shared" si="21"/>
        <v>0</v>
      </c>
      <c r="AL406" s="8">
        <f t="shared" si="22"/>
        <v>0</v>
      </c>
      <c r="AM406" s="9"/>
    </row>
    <row r="407" spans="1:39" ht="24.95" customHeight="1">
      <c r="A407" s="10" t="s">
        <v>444</v>
      </c>
      <c r="B407" s="8">
        <v>0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8"/>
      <c r="N407" s="8"/>
      <c r="O407" s="8"/>
      <c r="P407" s="8"/>
      <c r="Q407" s="8"/>
      <c r="R407" s="8"/>
      <c r="S407" s="8"/>
      <c r="T407" s="8"/>
      <c r="U407" s="18"/>
      <c r="V407" s="18"/>
      <c r="W407" s="18"/>
      <c r="X407" s="18"/>
      <c r="Y407" s="18"/>
      <c r="Z407" s="8"/>
      <c r="AA407" s="18"/>
      <c r="AB407" s="18"/>
      <c r="AC407" s="8">
        <f t="shared" si="23"/>
        <v>0</v>
      </c>
      <c r="AD407" s="18"/>
      <c r="AE407" s="18"/>
      <c r="AF407" s="8"/>
      <c r="AG407" s="18"/>
      <c r="AH407" s="8"/>
      <c r="AI407" s="8"/>
      <c r="AJ407" s="8"/>
      <c r="AK407" s="8">
        <f t="shared" si="21"/>
        <v>0</v>
      </c>
      <c r="AL407" s="8">
        <f t="shared" si="22"/>
        <v>0</v>
      </c>
      <c r="AM407" s="9"/>
    </row>
    <row r="408" spans="1:39" ht="24.95" customHeight="1">
      <c r="A408" s="10" t="s">
        <v>445</v>
      </c>
      <c r="B408" s="8">
        <v>3528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8"/>
      <c r="N408" s="8"/>
      <c r="O408" s="8"/>
      <c r="P408" s="8"/>
      <c r="Q408" s="8"/>
      <c r="R408" s="8"/>
      <c r="S408" s="8"/>
      <c r="T408" s="8"/>
      <c r="U408" s="18"/>
      <c r="V408" s="18"/>
      <c r="W408" s="18"/>
      <c r="X408" s="18"/>
      <c r="Y408" s="18"/>
      <c r="Z408" s="8"/>
      <c r="AA408" s="18">
        <f>+Z414*2</f>
        <v>0</v>
      </c>
      <c r="AB408" s="18"/>
      <c r="AC408" s="8">
        <f t="shared" si="23"/>
        <v>0</v>
      </c>
      <c r="AD408" s="18"/>
      <c r="AE408" s="18"/>
      <c r="AF408" s="8"/>
      <c r="AG408" s="18"/>
      <c r="AH408" s="8"/>
      <c r="AI408" s="8"/>
      <c r="AJ408" s="8">
        <v>1</v>
      </c>
      <c r="AK408" s="8">
        <f t="shared" si="21"/>
        <v>-1</v>
      </c>
      <c r="AL408" s="8">
        <f t="shared" si="22"/>
        <v>3527</v>
      </c>
      <c r="AM408" s="11"/>
    </row>
    <row r="409" spans="1:39" ht="24.95" customHeight="1">
      <c r="A409" s="10" t="s">
        <v>446</v>
      </c>
      <c r="B409" s="8">
        <v>8398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8"/>
      <c r="N409" s="8"/>
      <c r="O409" s="8"/>
      <c r="P409" s="8"/>
      <c r="Q409" s="8"/>
      <c r="R409" s="8"/>
      <c r="S409" s="8"/>
      <c r="T409" s="8"/>
      <c r="U409" s="18"/>
      <c r="V409" s="18"/>
      <c r="W409" s="18"/>
      <c r="X409" s="18"/>
      <c r="Y409" s="18"/>
      <c r="Z409" s="8"/>
      <c r="AA409" s="18"/>
      <c r="AB409" s="18"/>
      <c r="AC409" s="8">
        <f t="shared" si="23"/>
        <v>0</v>
      </c>
      <c r="AD409" s="18"/>
      <c r="AE409" s="18"/>
      <c r="AF409" s="8"/>
      <c r="AG409" s="18"/>
      <c r="AH409" s="8"/>
      <c r="AI409" s="8"/>
      <c r="AJ409" s="8"/>
      <c r="AK409" s="8">
        <f t="shared" si="21"/>
        <v>0</v>
      </c>
      <c r="AL409" s="8">
        <f t="shared" si="22"/>
        <v>8398</v>
      </c>
      <c r="AM409" s="11"/>
    </row>
    <row r="410" spans="1:39" ht="24.95" customHeight="1">
      <c r="A410" s="10" t="s">
        <v>447</v>
      </c>
      <c r="B410" s="8">
        <v>3818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8"/>
      <c r="N410" s="8"/>
      <c r="O410" s="8"/>
      <c r="P410" s="8"/>
      <c r="Q410" s="8"/>
      <c r="R410" s="8"/>
      <c r="S410" s="8"/>
      <c r="T410" s="8"/>
      <c r="U410" s="18"/>
      <c r="V410" s="18"/>
      <c r="W410" s="18"/>
      <c r="X410" s="18"/>
      <c r="Y410" s="18"/>
      <c r="Z410" s="8"/>
      <c r="AA410" s="18">
        <f>+Z413*2</f>
        <v>0</v>
      </c>
      <c r="AB410" s="18"/>
      <c r="AC410" s="8">
        <f t="shared" si="23"/>
        <v>0</v>
      </c>
      <c r="AD410" s="18"/>
      <c r="AE410" s="18"/>
      <c r="AF410" s="8"/>
      <c r="AG410" s="18"/>
      <c r="AH410" s="8"/>
      <c r="AI410" s="8"/>
      <c r="AJ410" s="8">
        <v>2</v>
      </c>
      <c r="AK410" s="8">
        <f t="shared" si="21"/>
        <v>-2</v>
      </c>
      <c r="AL410" s="8">
        <f t="shared" si="22"/>
        <v>3816</v>
      </c>
      <c r="AM410" s="9"/>
    </row>
    <row r="411" spans="1:39" ht="24.95" customHeight="1">
      <c r="A411" s="10" t="s">
        <v>448</v>
      </c>
      <c r="B411" s="8">
        <v>6930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8"/>
      <c r="N411" s="8"/>
      <c r="O411" s="8"/>
      <c r="P411" s="8"/>
      <c r="Q411" s="8"/>
      <c r="R411" s="8"/>
      <c r="S411" s="8"/>
      <c r="T411" s="8"/>
      <c r="U411" s="18"/>
      <c r="V411" s="18"/>
      <c r="W411" s="18"/>
      <c r="X411" s="18"/>
      <c r="Y411" s="18"/>
      <c r="Z411" s="8"/>
      <c r="AA411" s="18"/>
      <c r="AB411" s="18"/>
      <c r="AC411" s="8">
        <f t="shared" si="23"/>
        <v>0</v>
      </c>
      <c r="AD411" s="18"/>
      <c r="AE411" s="18"/>
      <c r="AF411" s="8"/>
      <c r="AG411" s="18"/>
      <c r="AH411" s="8"/>
      <c r="AI411" s="8"/>
      <c r="AJ411" s="8">
        <v>2</v>
      </c>
      <c r="AK411" s="8">
        <f t="shared" si="21"/>
        <v>-2</v>
      </c>
      <c r="AL411" s="8">
        <f t="shared" si="22"/>
        <v>6928</v>
      </c>
      <c r="AM411" s="9"/>
    </row>
    <row r="412" spans="1:39" ht="24.95" customHeight="1">
      <c r="A412" s="10" t="s">
        <v>449</v>
      </c>
      <c r="B412" s="8">
        <v>3022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8"/>
      <c r="N412" s="8"/>
      <c r="O412" s="8"/>
      <c r="P412" s="8"/>
      <c r="Q412" s="8"/>
      <c r="R412" s="8"/>
      <c r="S412" s="8"/>
      <c r="T412" s="8"/>
      <c r="U412" s="18"/>
      <c r="V412" s="18"/>
      <c r="W412" s="18"/>
      <c r="X412" s="18"/>
      <c r="Y412" s="18"/>
      <c r="Z412" s="8"/>
      <c r="AA412" s="18"/>
      <c r="AB412" s="18"/>
      <c r="AC412" s="8">
        <f t="shared" si="23"/>
        <v>0</v>
      </c>
      <c r="AD412" s="18"/>
      <c r="AE412" s="18"/>
      <c r="AF412" s="8"/>
      <c r="AG412" s="18"/>
      <c r="AH412" s="8"/>
      <c r="AI412" s="8"/>
      <c r="AJ412" s="8"/>
      <c r="AK412" s="8">
        <f t="shared" si="21"/>
        <v>0</v>
      </c>
      <c r="AL412" s="8">
        <f t="shared" si="22"/>
        <v>3022</v>
      </c>
      <c r="AM412" s="9"/>
    </row>
    <row r="413" spans="1:39" ht="24.95" customHeight="1">
      <c r="A413" s="10" t="s">
        <v>450</v>
      </c>
      <c r="B413" s="8">
        <v>0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8"/>
      <c r="N413" s="8"/>
      <c r="O413" s="8"/>
      <c r="P413" s="8"/>
      <c r="Q413" s="8"/>
      <c r="R413" s="8"/>
      <c r="S413" s="8"/>
      <c r="T413" s="8"/>
      <c r="U413" s="18"/>
      <c r="V413" s="18"/>
      <c r="W413" s="18"/>
      <c r="X413" s="18"/>
      <c r="Y413" s="18"/>
      <c r="Z413" s="8"/>
      <c r="AA413" s="18"/>
      <c r="AB413" s="18"/>
      <c r="AC413" s="8">
        <f t="shared" si="23"/>
        <v>0</v>
      </c>
      <c r="AD413" s="18"/>
      <c r="AE413" s="18"/>
      <c r="AF413" s="8"/>
      <c r="AG413" s="18"/>
      <c r="AH413" s="8"/>
      <c r="AI413" s="8"/>
      <c r="AJ413" s="8"/>
      <c r="AK413" s="8">
        <f t="shared" si="21"/>
        <v>0</v>
      </c>
      <c r="AL413" s="8">
        <f t="shared" si="22"/>
        <v>0</v>
      </c>
      <c r="AM413" s="9"/>
    </row>
    <row r="414" spans="1:39" ht="24.95" customHeight="1">
      <c r="A414" s="10" t="s">
        <v>451</v>
      </c>
      <c r="B414" s="8">
        <v>0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8"/>
      <c r="N414" s="8"/>
      <c r="O414" s="8"/>
      <c r="P414" s="8"/>
      <c r="Q414" s="8"/>
      <c r="R414" s="8"/>
      <c r="S414" s="8"/>
      <c r="T414" s="8"/>
      <c r="U414" s="18"/>
      <c r="V414" s="18"/>
      <c r="W414" s="18"/>
      <c r="X414" s="18"/>
      <c r="Y414" s="18"/>
      <c r="Z414" s="8"/>
      <c r="AA414" s="18"/>
      <c r="AB414" s="18"/>
      <c r="AC414" s="8">
        <f t="shared" si="23"/>
        <v>0</v>
      </c>
      <c r="AD414" s="18"/>
      <c r="AE414" s="18"/>
      <c r="AF414" s="8"/>
      <c r="AG414" s="18"/>
      <c r="AH414" s="8"/>
      <c r="AI414" s="8"/>
      <c r="AJ414" s="8"/>
      <c r="AK414" s="8">
        <f t="shared" si="21"/>
        <v>0</v>
      </c>
      <c r="AL414" s="8">
        <f t="shared" si="22"/>
        <v>0</v>
      </c>
      <c r="AM414" s="9"/>
    </row>
    <row r="415" spans="1:39" ht="24.95" customHeight="1">
      <c r="A415" s="10" t="s">
        <v>452</v>
      </c>
      <c r="B415" s="8">
        <v>126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8"/>
      <c r="N415" s="8"/>
      <c r="O415" s="8"/>
      <c r="P415" s="8"/>
      <c r="Q415" s="8"/>
      <c r="R415" s="8"/>
      <c r="S415" s="8"/>
      <c r="T415" s="8"/>
      <c r="U415" s="18"/>
      <c r="V415" s="18"/>
      <c r="W415" s="18"/>
      <c r="X415" s="18"/>
      <c r="Y415" s="18"/>
      <c r="Z415" s="8"/>
      <c r="AA415" s="18"/>
      <c r="AB415" s="18"/>
      <c r="AC415" s="8">
        <f t="shared" si="23"/>
        <v>0</v>
      </c>
      <c r="AD415" s="18"/>
      <c r="AE415" s="18"/>
      <c r="AF415" s="8"/>
      <c r="AG415" s="18"/>
      <c r="AH415" s="8"/>
      <c r="AI415" s="8"/>
      <c r="AJ415" s="8"/>
      <c r="AK415" s="8">
        <f t="shared" si="21"/>
        <v>0</v>
      </c>
      <c r="AL415" s="8">
        <f t="shared" si="22"/>
        <v>126</v>
      </c>
      <c r="AM415" s="9"/>
    </row>
    <row r="416" spans="1:39" ht="24.95" customHeight="1">
      <c r="A416" s="17" t="s">
        <v>453</v>
      </c>
      <c r="B416" s="8">
        <v>1863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8"/>
      <c r="N416" s="8"/>
      <c r="O416" s="8"/>
      <c r="P416" s="8"/>
      <c r="Q416" s="8"/>
      <c r="R416" s="8"/>
      <c r="S416" s="8"/>
      <c r="T416" s="8"/>
      <c r="U416" s="18"/>
      <c r="V416" s="18"/>
      <c r="W416" s="18"/>
      <c r="X416" s="18"/>
      <c r="Y416" s="18"/>
      <c r="Z416" s="8"/>
      <c r="AA416" s="18">
        <f>+Z417*2</f>
        <v>0</v>
      </c>
      <c r="AB416" s="18"/>
      <c r="AC416" s="8">
        <f t="shared" si="23"/>
        <v>0</v>
      </c>
      <c r="AD416" s="18"/>
      <c r="AE416" s="18"/>
      <c r="AF416" s="8"/>
      <c r="AG416" s="18"/>
      <c r="AH416" s="8"/>
      <c r="AI416" s="8"/>
      <c r="AJ416" s="8">
        <v>1</v>
      </c>
      <c r="AK416" s="8">
        <f t="shared" si="21"/>
        <v>-1</v>
      </c>
      <c r="AL416" s="8">
        <f t="shared" si="22"/>
        <v>1862</v>
      </c>
      <c r="AM416" s="9"/>
    </row>
    <row r="417" spans="1:39" ht="24.95" customHeight="1">
      <c r="A417" s="17" t="s">
        <v>454</v>
      </c>
      <c r="B417" s="8">
        <v>0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8"/>
      <c r="N417" s="8"/>
      <c r="O417" s="8"/>
      <c r="P417" s="8"/>
      <c r="Q417" s="8"/>
      <c r="R417" s="8"/>
      <c r="S417" s="8"/>
      <c r="T417" s="8"/>
      <c r="U417" s="18"/>
      <c r="V417" s="18"/>
      <c r="W417" s="18"/>
      <c r="X417" s="18"/>
      <c r="Y417" s="18"/>
      <c r="Z417" s="8"/>
      <c r="AA417" s="18"/>
      <c r="AB417" s="18"/>
      <c r="AC417" s="8">
        <f t="shared" si="23"/>
        <v>0</v>
      </c>
      <c r="AD417" s="18"/>
      <c r="AE417" s="18"/>
      <c r="AF417" s="8"/>
      <c r="AG417" s="18"/>
      <c r="AH417" s="8"/>
      <c r="AI417" s="8"/>
      <c r="AJ417" s="8"/>
      <c r="AK417" s="8">
        <f t="shared" si="21"/>
        <v>0</v>
      </c>
      <c r="AL417" s="8">
        <f t="shared" si="22"/>
        <v>0</v>
      </c>
      <c r="AM417" s="9"/>
    </row>
    <row r="418" spans="1:39" ht="24.95" customHeight="1">
      <c r="A418" s="17" t="s">
        <v>455</v>
      </c>
      <c r="B418" s="8">
        <v>0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8"/>
      <c r="N418" s="8"/>
      <c r="O418" s="8"/>
      <c r="P418" s="8"/>
      <c r="Q418" s="8"/>
      <c r="R418" s="8"/>
      <c r="S418" s="8"/>
      <c r="T418" s="8"/>
      <c r="U418" s="18"/>
      <c r="V418" s="18"/>
      <c r="W418" s="18"/>
      <c r="X418" s="18"/>
      <c r="Y418" s="18"/>
      <c r="Z418" s="8"/>
      <c r="AA418" s="18"/>
      <c r="AB418" s="18"/>
      <c r="AC418" s="8">
        <f t="shared" si="23"/>
        <v>0</v>
      </c>
      <c r="AD418" s="18"/>
      <c r="AE418" s="18"/>
      <c r="AF418" s="8"/>
      <c r="AG418" s="18"/>
      <c r="AH418" s="8"/>
      <c r="AI418" s="8"/>
      <c r="AJ418" s="8"/>
      <c r="AK418" s="8">
        <f t="shared" si="21"/>
        <v>0</v>
      </c>
      <c r="AL418" s="8">
        <f t="shared" si="22"/>
        <v>0</v>
      </c>
      <c r="AM418" s="9"/>
    </row>
    <row r="419" spans="1:39" ht="24.95" customHeight="1">
      <c r="A419" s="17" t="s">
        <v>456</v>
      </c>
      <c r="B419" s="8">
        <v>2731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8"/>
      <c r="N419" s="8"/>
      <c r="O419" s="8"/>
      <c r="P419" s="8"/>
      <c r="Q419" s="8"/>
      <c r="R419" s="8"/>
      <c r="S419" s="8"/>
      <c r="T419" s="8"/>
      <c r="U419" s="18"/>
      <c r="V419" s="18"/>
      <c r="W419" s="18"/>
      <c r="X419" s="18"/>
      <c r="Y419" s="18"/>
      <c r="Z419" s="8"/>
      <c r="AA419" s="18">
        <f>+(Z421*4)+(Z420*2)</f>
        <v>0</v>
      </c>
      <c r="AB419" s="18"/>
      <c r="AC419" s="8">
        <f t="shared" si="23"/>
        <v>0</v>
      </c>
      <c r="AD419" s="18"/>
      <c r="AE419" s="18"/>
      <c r="AF419" s="8"/>
      <c r="AG419" s="18"/>
      <c r="AH419" s="8"/>
      <c r="AI419" s="8"/>
      <c r="AJ419" s="8"/>
      <c r="AK419" s="8">
        <f t="shared" si="21"/>
        <v>0</v>
      </c>
      <c r="AL419" s="8">
        <f t="shared" si="22"/>
        <v>2731</v>
      </c>
      <c r="AM419" s="9"/>
    </row>
    <row r="420" spans="1:39" ht="24.95" customHeight="1">
      <c r="A420" s="17" t="s">
        <v>457</v>
      </c>
      <c r="B420" s="8">
        <v>0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8"/>
      <c r="N420" s="8"/>
      <c r="O420" s="8"/>
      <c r="P420" s="8"/>
      <c r="Q420" s="8"/>
      <c r="R420" s="8"/>
      <c r="S420" s="8"/>
      <c r="T420" s="8"/>
      <c r="U420" s="18"/>
      <c r="V420" s="18"/>
      <c r="W420" s="18"/>
      <c r="X420" s="18"/>
      <c r="Y420" s="18"/>
      <c r="Z420" s="8"/>
      <c r="AA420" s="18"/>
      <c r="AB420" s="18"/>
      <c r="AC420" s="8">
        <f t="shared" si="23"/>
        <v>0</v>
      </c>
      <c r="AD420" s="18"/>
      <c r="AE420" s="18"/>
      <c r="AF420" s="8"/>
      <c r="AG420" s="18"/>
      <c r="AH420" s="8"/>
      <c r="AI420" s="8"/>
      <c r="AJ420" s="8"/>
      <c r="AK420" s="8">
        <f t="shared" si="21"/>
        <v>0</v>
      </c>
      <c r="AL420" s="8">
        <f t="shared" si="22"/>
        <v>0</v>
      </c>
      <c r="AM420" s="9"/>
    </row>
    <row r="421" spans="1:39" ht="24.95" customHeight="1">
      <c r="A421" s="17" t="s">
        <v>458</v>
      </c>
      <c r="B421" s="8">
        <v>0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8"/>
      <c r="N421" s="8"/>
      <c r="O421" s="8"/>
      <c r="P421" s="8"/>
      <c r="Q421" s="8"/>
      <c r="R421" s="8"/>
      <c r="S421" s="8"/>
      <c r="T421" s="8"/>
      <c r="U421" s="18"/>
      <c r="V421" s="18"/>
      <c r="W421" s="18"/>
      <c r="X421" s="18"/>
      <c r="Y421" s="18"/>
      <c r="Z421" s="8"/>
      <c r="AA421" s="18"/>
      <c r="AB421" s="18"/>
      <c r="AC421" s="8">
        <f t="shared" si="23"/>
        <v>0</v>
      </c>
      <c r="AD421" s="18"/>
      <c r="AE421" s="18"/>
      <c r="AF421" s="8"/>
      <c r="AG421" s="18"/>
      <c r="AH421" s="8"/>
      <c r="AI421" s="8"/>
      <c r="AJ421" s="8"/>
      <c r="AK421" s="8">
        <f t="shared" si="21"/>
        <v>0</v>
      </c>
      <c r="AL421" s="8">
        <f t="shared" si="22"/>
        <v>0</v>
      </c>
      <c r="AM421" s="9"/>
    </row>
    <row r="422" spans="1:39" ht="24.95" customHeight="1">
      <c r="A422" s="17" t="s">
        <v>459</v>
      </c>
      <c r="B422" s="8">
        <v>4934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8"/>
      <c r="N422" s="8"/>
      <c r="O422" s="8"/>
      <c r="P422" s="8"/>
      <c r="Q422" s="8"/>
      <c r="R422" s="8">
        <v>20</v>
      </c>
      <c r="S422" s="8"/>
      <c r="T422" s="8"/>
      <c r="U422" s="18"/>
      <c r="V422" s="18"/>
      <c r="W422" s="18"/>
      <c r="X422" s="18"/>
      <c r="Y422" s="18"/>
      <c r="Z422" s="8"/>
      <c r="AA422" s="18">
        <f>+Z423*2</f>
        <v>0</v>
      </c>
      <c r="AB422" s="18"/>
      <c r="AC422" s="8">
        <f t="shared" si="23"/>
        <v>0</v>
      </c>
      <c r="AD422" s="18"/>
      <c r="AE422" s="18"/>
      <c r="AF422" s="8"/>
      <c r="AG422" s="18"/>
      <c r="AH422" s="8"/>
      <c r="AI422" s="8"/>
      <c r="AJ422" s="8">
        <v>1</v>
      </c>
      <c r="AK422" s="8">
        <f t="shared" si="21"/>
        <v>-21</v>
      </c>
      <c r="AL422" s="8">
        <f t="shared" si="22"/>
        <v>4913</v>
      </c>
      <c r="AM422" s="9"/>
    </row>
    <row r="423" spans="1:39" ht="24.95" customHeight="1">
      <c r="A423" s="17" t="s">
        <v>460</v>
      </c>
      <c r="B423" s="8">
        <v>0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8"/>
      <c r="N423" s="8"/>
      <c r="O423" s="8"/>
      <c r="P423" s="8"/>
      <c r="Q423" s="8"/>
      <c r="R423" s="8"/>
      <c r="S423" s="8"/>
      <c r="T423" s="8"/>
      <c r="U423" s="18"/>
      <c r="V423" s="18"/>
      <c r="W423" s="18"/>
      <c r="X423" s="18"/>
      <c r="Y423" s="18"/>
      <c r="Z423" s="8"/>
      <c r="AA423" s="18"/>
      <c r="AB423" s="18"/>
      <c r="AC423" s="8">
        <f t="shared" si="23"/>
        <v>0</v>
      </c>
      <c r="AD423" s="18"/>
      <c r="AE423" s="18"/>
      <c r="AF423" s="8"/>
      <c r="AG423" s="18"/>
      <c r="AH423" s="8"/>
      <c r="AI423" s="8"/>
      <c r="AJ423" s="8"/>
      <c r="AK423" s="8">
        <f t="shared" si="21"/>
        <v>0</v>
      </c>
      <c r="AL423" s="8">
        <f t="shared" si="22"/>
        <v>0</v>
      </c>
      <c r="AM423" s="9"/>
    </row>
    <row r="424" spans="1:39" ht="24.95" customHeight="1">
      <c r="A424" s="17" t="s">
        <v>461</v>
      </c>
      <c r="B424" s="8">
        <v>0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8"/>
      <c r="N424" s="8"/>
      <c r="O424" s="8"/>
      <c r="P424" s="8"/>
      <c r="Q424" s="8"/>
      <c r="R424" s="8"/>
      <c r="S424" s="8"/>
      <c r="T424" s="8"/>
      <c r="U424" s="18"/>
      <c r="V424" s="18"/>
      <c r="W424" s="18"/>
      <c r="X424" s="18"/>
      <c r="Y424" s="18"/>
      <c r="Z424" s="8"/>
      <c r="AA424" s="18"/>
      <c r="AB424" s="18"/>
      <c r="AC424" s="8">
        <f t="shared" si="23"/>
        <v>0</v>
      </c>
      <c r="AD424" s="18"/>
      <c r="AE424" s="18"/>
      <c r="AF424" s="8"/>
      <c r="AG424" s="18"/>
      <c r="AH424" s="8"/>
      <c r="AI424" s="8"/>
      <c r="AJ424" s="8"/>
      <c r="AK424" s="8">
        <f t="shared" si="21"/>
        <v>0</v>
      </c>
      <c r="AL424" s="8">
        <f t="shared" si="22"/>
        <v>0</v>
      </c>
      <c r="AM424" s="9"/>
    </row>
    <row r="425" spans="1:39" ht="24.95" customHeight="1">
      <c r="A425" s="17" t="s">
        <v>462</v>
      </c>
      <c r="B425" s="8">
        <v>5512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8"/>
      <c r="N425" s="8"/>
      <c r="O425" s="8"/>
      <c r="P425" s="8"/>
      <c r="Q425" s="8"/>
      <c r="R425" s="8"/>
      <c r="S425" s="8"/>
      <c r="T425" s="8"/>
      <c r="U425" s="18"/>
      <c r="V425" s="18"/>
      <c r="W425" s="18"/>
      <c r="X425" s="18"/>
      <c r="Y425" s="18"/>
      <c r="Z425" s="8"/>
      <c r="AA425" s="18">
        <f>+(Z426*2)+(Z427*3)+(Z428*4)</f>
        <v>180</v>
      </c>
      <c r="AB425" s="18"/>
      <c r="AC425" s="8">
        <f t="shared" si="23"/>
        <v>0</v>
      </c>
      <c r="AD425" s="18"/>
      <c r="AE425" s="18"/>
      <c r="AF425" s="8"/>
      <c r="AG425" s="18"/>
      <c r="AH425" s="8"/>
      <c r="AI425" s="8"/>
      <c r="AJ425" s="8">
        <v>140</v>
      </c>
      <c r="AK425" s="8">
        <f t="shared" si="21"/>
        <v>-320</v>
      </c>
      <c r="AL425" s="8">
        <f t="shared" si="22"/>
        <v>5192</v>
      </c>
      <c r="AM425" s="9"/>
    </row>
    <row r="426" spans="1:39" ht="24.95" customHeight="1">
      <c r="A426" s="17" t="s">
        <v>463</v>
      </c>
      <c r="B426" s="8">
        <v>2150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8"/>
      <c r="N426" s="8"/>
      <c r="O426" s="8"/>
      <c r="P426" s="8"/>
      <c r="Q426" s="8"/>
      <c r="R426" s="8">
        <v>240</v>
      </c>
      <c r="S426" s="8"/>
      <c r="T426" s="8"/>
      <c r="U426" s="18"/>
      <c r="V426" s="18"/>
      <c r="W426" s="18"/>
      <c r="X426" s="18"/>
      <c r="Y426" s="18"/>
      <c r="Z426" s="8"/>
      <c r="AA426" s="18"/>
      <c r="AB426" s="18"/>
      <c r="AC426" s="8">
        <f t="shared" si="23"/>
        <v>0</v>
      </c>
      <c r="AD426" s="18"/>
      <c r="AE426" s="18"/>
      <c r="AF426" s="8"/>
      <c r="AG426" s="18"/>
      <c r="AH426" s="8"/>
      <c r="AI426" s="8"/>
      <c r="AJ426" s="8"/>
      <c r="AK426" s="8">
        <f t="shared" si="21"/>
        <v>-240</v>
      </c>
      <c r="AL426" s="8">
        <f t="shared" si="22"/>
        <v>1910</v>
      </c>
      <c r="AM426" s="9"/>
    </row>
    <row r="427" spans="1:39" ht="24.95" customHeight="1">
      <c r="A427" s="17" t="s">
        <v>464</v>
      </c>
      <c r="B427" s="8">
        <v>230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8"/>
      <c r="N427" s="8"/>
      <c r="O427" s="8"/>
      <c r="P427" s="8"/>
      <c r="Q427" s="8"/>
      <c r="R427" s="8"/>
      <c r="S427" s="8"/>
      <c r="T427" s="8"/>
      <c r="U427" s="18"/>
      <c r="V427" s="18"/>
      <c r="W427" s="18"/>
      <c r="X427" s="18"/>
      <c r="Y427" s="18"/>
      <c r="Z427" s="8"/>
      <c r="AA427" s="18"/>
      <c r="AB427" s="18"/>
      <c r="AC427" s="8">
        <f t="shared" si="23"/>
        <v>0</v>
      </c>
      <c r="AD427" s="18"/>
      <c r="AE427" s="18"/>
      <c r="AF427" s="8"/>
      <c r="AG427" s="18"/>
      <c r="AH427" s="8"/>
      <c r="AI427" s="8"/>
      <c r="AJ427" s="8"/>
      <c r="AK427" s="8">
        <f t="shared" si="21"/>
        <v>0</v>
      </c>
      <c r="AL427" s="8">
        <f t="shared" si="22"/>
        <v>230</v>
      </c>
      <c r="AM427" s="9"/>
    </row>
    <row r="428" spans="1:39" ht="24.95" customHeight="1">
      <c r="A428" s="17" t="s">
        <v>465</v>
      </c>
      <c r="B428" s="8">
        <v>0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8"/>
      <c r="N428" s="8"/>
      <c r="O428" s="8"/>
      <c r="P428" s="8"/>
      <c r="Q428" s="8"/>
      <c r="R428" s="8">
        <v>45</v>
      </c>
      <c r="S428" s="8"/>
      <c r="T428" s="8"/>
      <c r="U428" s="18"/>
      <c r="V428" s="18"/>
      <c r="W428" s="18"/>
      <c r="X428" s="18"/>
      <c r="Y428" s="18"/>
      <c r="Z428" s="8">
        <v>45</v>
      </c>
      <c r="AA428" s="18"/>
      <c r="AB428" s="18"/>
      <c r="AC428" s="8">
        <f t="shared" si="23"/>
        <v>0</v>
      </c>
      <c r="AD428" s="18"/>
      <c r="AE428" s="18"/>
      <c r="AF428" s="8"/>
      <c r="AG428" s="18"/>
      <c r="AH428" s="8"/>
      <c r="AI428" s="8"/>
      <c r="AJ428" s="8"/>
      <c r="AK428" s="8">
        <f t="shared" si="21"/>
        <v>0</v>
      </c>
      <c r="AL428" s="8">
        <f t="shared" si="22"/>
        <v>0</v>
      </c>
      <c r="AM428" s="9"/>
    </row>
    <row r="429" spans="1:39" ht="24.95" customHeight="1">
      <c r="A429" s="17" t="s">
        <v>466</v>
      </c>
      <c r="B429" s="8">
        <v>4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8"/>
      <c r="N429" s="8"/>
      <c r="O429" s="8"/>
      <c r="P429" s="8"/>
      <c r="Q429" s="8"/>
      <c r="R429" s="8"/>
      <c r="S429" s="8"/>
      <c r="T429" s="8"/>
      <c r="U429" s="18"/>
      <c r="V429" s="18"/>
      <c r="W429" s="18"/>
      <c r="X429" s="18"/>
      <c r="Y429" s="18"/>
      <c r="Z429" s="8"/>
      <c r="AA429" s="18"/>
      <c r="AB429" s="18"/>
      <c r="AC429" s="8">
        <f t="shared" si="23"/>
        <v>0</v>
      </c>
      <c r="AD429" s="18"/>
      <c r="AE429" s="18"/>
      <c r="AF429" s="8"/>
      <c r="AG429" s="18"/>
      <c r="AH429" s="8"/>
      <c r="AI429" s="8"/>
      <c r="AJ429" s="8"/>
      <c r="AK429" s="8">
        <f t="shared" si="21"/>
        <v>0</v>
      </c>
      <c r="AL429" s="8">
        <f t="shared" si="22"/>
        <v>4</v>
      </c>
      <c r="AM429" s="9"/>
    </row>
    <row r="430" spans="1:39" ht="24.95" customHeight="1">
      <c r="A430" s="17" t="s">
        <v>467</v>
      </c>
      <c r="B430" s="8">
        <v>2860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8"/>
      <c r="N430" s="8"/>
      <c r="O430" s="8"/>
      <c r="P430" s="8"/>
      <c r="Q430" s="8"/>
      <c r="R430" s="8"/>
      <c r="S430" s="8"/>
      <c r="T430" s="8"/>
      <c r="U430" s="18"/>
      <c r="V430" s="18"/>
      <c r="W430" s="18"/>
      <c r="X430" s="18"/>
      <c r="Y430" s="18"/>
      <c r="Z430" s="8"/>
      <c r="AA430" s="18">
        <f>+Z431*2</f>
        <v>0</v>
      </c>
      <c r="AB430" s="18"/>
      <c r="AC430" s="8">
        <f t="shared" si="23"/>
        <v>0</v>
      </c>
      <c r="AD430" s="18"/>
      <c r="AE430" s="18"/>
      <c r="AF430" s="8"/>
      <c r="AG430" s="18"/>
      <c r="AH430" s="8"/>
      <c r="AI430" s="8"/>
      <c r="AJ430" s="8">
        <v>2</v>
      </c>
      <c r="AK430" s="8">
        <f t="shared" si="21"/>
        <v>-2</v>
      </c>
      <c r="AL430" s="8">
        <f t="shared" si="22"/>
        <v>2858</v>
      </c>
      <c r="AM430" s="9"/>
    </row>
    <row r="431" spans="1:39" ht="24.95" customHeight="1">
      <c r="A431" s="17" t="s">
        <v>468</v>
      </c>
      <c r="B431" s="8">
        <v>0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8"/>
      <c r="N431" s="8"/>
      <c r="O431" s="8"/>
      <c r="P431" s="8"/>
      <c r="Q431" s="8"/>
      <c r="R431" s="8"/>
      <c r="S431" s="8"/>
      <c r="T431" s="8"/>
      <c r="U431" s="18"/>
      <c r="V431" s="18"/>
      <c r="W431" s="18"/>
      <c r="X431" s="18"/>
      <c r="Y431" s="18"/>
      <c r="Z431" s="8"/>
      <c r="AA431" s="18"/>
      <c r="AB431" s="18"/>
      <c r="AC431" s="8">
        <f t="shared" si="23"/>
        <v>0</v>
      </c>
      <c r="AD431" s="18"/>
      <c r="AE431" s="18"/>
      <c r="AF431" s="8"/>
      <c r="AG431" s="18"/>
      <c r="AH431" s="8"/>
      <c r="AI431" s="8"/>
      <c r="AJ431" s="8"/>
      <c r="AK431" s="8">
        <f t="shared" si="21"/>
        <v>0</v>
      </c>
      <c r="AL431" s="8">
        <f t="shared" si="22"/>
        <v>0</v>
      </c>
      <c r="AM431" s="9"/>
    </row>
    <row r="432" spans="1:39" ht="24.95" customHeight="1">
      <c r="A432" s="17" t="s">
        <v>469</v>
      </c>
      <c r="B432" s="8">
        <v>16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8"/>
      <c r="N432" s="8"/>
      <c r="O432" s="8"/>
      <c r="P432" s="8"/>
      <c r="Q432" s="8"/>
      <c r="R432" s="8"/>
      <c r="S432" s="8"/>
      <c r="T432" s="8"/>
      <c r="U432" s="18"/>
      <c r="V432" s="18"/>
      <c r="W432" s="18"/>
      <c r="X432" s="18">
        <f>+Y433*2</f>
        <v>0</v>
      </c>
      <c r="Y432" s="18"/>
      <c r="Z432" s="8"/>
      <c r="AA432" s="18">
        <f>+Z433*2</f>
        <v>0</v>
      </c>
      <c r="AB432" s="18"/>
      <c r="AC432" s="8">
        <f t="shared" si="23"/>
        <v>0</v>
      </c>
      <c r="AD432" s="18"/>
      <c r="AE432" s="18"/>
      <c r="AF432" s="8"/>
      <c r="AG432" s="18"/>
      <c r="AH432" s="8"/>
      <c r="AI432" s="8"/>
      <c r="AJ432" s="8"/>
      <c r="AK432" s="8">
        <f t="shared" si="21"/>
        <v>0</v>
      </c>
      <c r="AL432" s="8">
        <f t="shared" si="22"/>
        <v>16</v>
      </c>
      <c r="AM432" s="20"/>
    </row>
    <row r="433" spans="1:39" ht="24.95" customHeight="1">
      <c r="A433" s="20" t="s">
        <v>470</v>
      </c>
      <c r="B433" s="8">
        <v>0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8"/>
      <c r="N433" s="8"/>
      <c r="O433" s="8"/>
      <c r="P433" s="8"/>
      <c r="Q433" s="8"/>
      <c r="R433" s="8"/>
      <c r="S433" s="8"/>
      <c r="T433" s="8"/>
      <c r="U433" s="18"/>
      <c r="V433" s="18"/>
      <c r="W433" s="18"/>
      <c r="X433" s="18"/>
      <c r="Y433" s="18"/>
      <c r="Z433" s="8"/>
      <c r="AA433" s="18"/>
      <c r="AB433" s="18"/>
      <c r="AC433" s="8">
        <f t="shared" si="23"/>
        <v>0</v>
      </c>
      <c r="AD433" s="18"/>
      <c r="AE433" s="18"/>
      <c r="AF433" s="8"/>
      <c r="AG433" s="18"/>
      <c r="AH433" s="8"/>
      <c r="AI433" s="8"/>
      <c r="AJ433" s="8"/>
      <c r="AK433" s="8">
        <f t="shared" si="21"/>
        <v>0</v>
      </c>
      <c r="AL433" s="8">
        <f t="shared" si="22"/>
        <v>0</v>
      </c>
      <c r="AM433" s="20"/>
    </row>
    <row r="434" spans="1:39" ht="24.95" customHeight="1">
      <c r="A434" s="17" t="s">
        <v>471</v>
      </c>
      <c r="B434" s="8">
        <v>5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8"/>
      <c r="N434" s="8"/>
      <c r="O434" s="8"/>
      <c r="P434" s="8"/>
      <c r="Q434" s="8"/>
      <c r="R434" s="8"/>
      <c r="S434" s="8"/>
      <c r="T434" s="8"/>
      <c r="U434" s="18"/>
      <c r="V434" s="18"/>
      <c r="W434" s="18"/>
      <c r="X434" s="18">
        <f>+Y435*2</f>
        <v>0</v>
      </c>
      <c r="Y434" s="18"/>
      <c r="Z434" s="8"/>
      <c r="AA434" s="18">
        <f>+Z435*2</f>
        <v>0</v>
      </c>
      <c r="AB434" s="18"/>
      <c r="AC434" s="8">
        <f t="shared" si="23"/>
        <v>0</v>
      </c>
      <c r="AD434" s="18"/>
      <c r="AE434" s="18"/>
      <c r="AF434" s="8"/>
      <c r="AG434" s="18"/>
      <c r="AH434" s="8"/>
      <c r="AI434" s="8"/>
      <c r="AJ434" s="8"/>
      <c r="AK434" s="8">
        <f t="shared" si="21"/>
        <v>0</v>
      </c>
      <c r="AL434" s="8">
        <f t="shared" si="22"/>
        <v>5</v>
      </c>
      <c r="AM434" s="11"/>
    </row>
    <row r="435" spans="1:39" ht="24.95" customHeight="1">
      <c r="A435" s="20" t="s">
        <v>472</v>
      </c>
      <c r="B435" s="8">
        <v>0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8"/>
      <c r="N435" s="8"/>
      <c r="O435" s="8"/>
      <c r="P435" s="8"/>
      <c r="Q435" s="8"/>
      <c r="R435" s="8"/>
      <c r="S435" s="8"/>
      <c r="T435" s="8"/>
      <c r="U435" s="18"/>
      <c r="V435" s="18"/>
      <c r="W435" s="18"/>
      <c r="X435" s="18"/>
      <c r="Y435" s="18"/>
      <c r="Z435" s="8"/>
      <c r="AA435" s="18"/>
      <c r="AB435" s="18"/>
      <c r="AC435" s="8">
        <f t="shared" si="23"/>
        <v>0</v>
      </c>
      <c r="AD435" s="18"/>
      <c r="AE435" s="18"/>
      <c r="AF435" s="8"/>
      <c r="AG435" s="18"/>
      <c r="AH435" s="8"/>
      <c r="AI435" s="8"/>
      <c r="AJ435" s="8"/>
      <c r="AK435" s="8">
        <f t="shared" si="21"/>
        <v>0</v>
      </c>
      <c r="AL435" s="8">
        <f t="shared" si="22"/>
        <v>0</v>
      </c>
      <c r="AM435" s="9"/>
    </row>
    <row r="436" spans="1:39" ht="24.95" customHeight="1">
      <c r="A436" s="17" t="s">
        <v>473</v>
      </c>
      <c r="B436" s="8">
        <v>11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8"/>
      <c r="N436" s="8"/>
      <c r="O436" s="8"/>
      <c r="P436" s="8"/>
      <c r="Q436" s="8"/>
      <c r="R436" s="8"/>
      <c r="S436" s="8"/>
      <c r="T436" s="8"/>
      <c r="U436" s="18"/>
      <c r="V436" s="18"/>
      <c r="W436" s="18"/>
      <c r="X436" s="18"/>
      <c r="Y436" s="18"/>
      <c r="Z436" s="8"/>
      <c r="AA436" s="18"/>
      <c r="AB436" s="18"/>
      <c r="AC436" s="8">
        <f t="shared" si="23"/>
        <v>0</v>
      </c>
      <c r="AD436" s="18"/>
      <c r="AE436" s="18"/>
      <c r="AF436" s="8"/>
      <c r="AG436" s="18"/>
      <c r="AH436" s="8"/>
      <c r="AI436" s="8"/>
      <c r="AJ436" s="8"/>
      <c r="AK436" s="8">
        <f t="shared" si="21"/>
        <v>0</v>
      </c>
      <c r="AL436" s="8">
        <f t="shared" si="22"/>
        <v>11</v>
      </c>
      <c r="AM436" s="9"/>
    </row>
    <row r="437" spans="1:39" ht="24.95" customHeight="1">
      <c r="A437" s="20" t="s">
        <v>474</v>
      </c>
      <c r="B437" s="8">
        <v>0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8"/>
      <c r="N437" s="8"/>
      <c r="O437" s="8"/>
      <c r="P437" s="8"/>
      <c r="Q437" s="8"/>
      <c r="R437" s="8"/>
      <c r="S437" s="8"/>
      <c r="T437" s="8"/>
      <c r="U437" s="18"/>
      <c r="V437" s="18"/>
      <c r="W437" s="18"/>
      <c r="X437" s="18"/>
      <c r="Y437" s="18"/>
      <c r="Z437" s="8"/>
      <c r="AA437" s="18"/>
      <c r="AB437" s="18"/>
      <c r="AC437" s="8">
        <f t="shared" si="23"/>
        <v>0</v>
      </c>
      <c r="AD437" s="18"/>
      <c r="AE437" s="18"/>
      <c r="AF437" s="8"/>
      <c r="AG437" s="18"/>
      <c r="AH437" s="8"/>
      <c r="AI437" s="8"/>
      <c r="AJ437" s="8"/>
      <c r="AK437" s="8">
        <f t="shared" si="21"/>
        <v>0</v>
      </c>
      <c r="AL437" s="8">
        <f t="shared" si="22"/>
        <v>0</v>
      </c>
      <c r="AM437" s="9"/>
    </row>
    <row r="438" spans="1:39" ht="24.95" customHeight="1">
      <c r="A438" s="17" t="s">
        <v>475</v>
      </c>
      <c r="B438" s="8">
        <v>0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8"/>
      <c r="N438" s="8"/>
      <c r="O438" s="8"/>
      <c r="P438" s="8"/>
      <c r="Q438" s="8"/>
      <c r="R438" s="8"/>
      <c r="S438" s="8"/>
      <c r="T438" s="8"/>
      <c r="U438" s="18"/>
      <c r="V438" s="18"/>
      <c r="W438" s="18"/>
      <c r="X438" s="18">
        <f>+Y439*2</f>
        <v>0</v>
      </c>
      <c r="Y438" s="18"/>
      <c r="Z438" s="8"/>
      <c r="AA438" s="18">
        <f>+Z439*2</f>
        <v>0</v>
      </c>
      <c r="AB438" s="18"/>
      <c r="AC438" s="8">
        <f t="shared" si="23"/>
        <v>0</v>
      </c>
      <c r="AD438" s="18"/>
      <c r="AE438" s="18"/>
      <c r="AF438" s="8"/>
      <c r="AG438" s="18"/>
      <c r="AH438" s="8"/>
      <c r="AI438" s="8"/>
      <c r="AJ438" s="8"/>
      <c r="AK438" s="8">
        <f t="shared" si="21"/>
        <v>0</v>
      </c>
      <c r="AL438" s="8">
        <f t="shared" si="22"/>
        <v>0</v>
      </c>
      <c r="AM438" s="9"/>
    </row>
    <row r="439" spans="1:39" ht="24.95" customHeight="1">
      <c r="A439" s="20" t="s">
        <v>476</v>
      </c>
      <c r="B439" s="8">
        <v>0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8"/>
      <c r="N439" s="8"/>
      <c r="O439" s="8"/>
      <c r="P439" s="8"/>
      <c r="Q439" s="8"/>
      <c r="R439" s="8"/>
      <c r="S439" s="8"/>
      <c r="T439" s="8"/>
      <c r="U439" s="18"/>
      <c r="V439" s="18"/>
      <c r="W439" s="18"/>
      <c r="X439" s="18"/>
      <c r="Y439" s="18"/>
      <c r="Z439" s="8"/>
      <c r="AA439" s="18"/>
      <c r="AB439" s="18"/>
      <c r="AC439" s="8">
        <f t="shared" si="23"/>
        <v>0</v>
      </c>
      <c r="AD439" s="18"/>
      <c r="AE439" s="18"/>
      <c r="AF439" s="8"/>
      <c r="AG439" s="18"/>
      <c r="AH439" s="8"/>
      <c r="AI439" s="8"/>
      <c r="AJ439" s="8"/>
      <c r="AK439" s="8">
        <f t="shared" si="21"/>
        <v>0</v>
      </c>
      <c r="AL439" s="8">
        <f t="shared" si="22"/>
        <v>0</v>
      </c>
      <c r="AM439" s="9"/>
    </row>
    <row r="440" spans="1:39" ht="24.95" customHeight="1">
      <c r="A440" s="20" t="s">
        <v>477</v>
      </c>
      <c r="B440" s="8">
        <v>3089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8"/>
      <c r="N440" s="8"/>
      <c r="O440" s="8"/>
      <c r="P440" s="8"/>
      <c r="Q440" s="8"/>
      <c r="R440" s="8">
        <v>56</v>
      </c>
      <c r="S440" s="8"/>
      <c r="T440" s="8"/>
      <c r="U440" s="18"/>
      <c r="V440" s="18"/>
      <c r="W440" s="18"/>
      <c r="X440" s="18"/>
      <c r="Y440" s="18"/>
      <c r="Z440" s="8"/>
      <c r="AA440" s="18">
        <f>+(Z441*2)+(Z442*4)</f>
        <v>0</v>
      </c>
      <c r="AB440" s="18"/>
      <c r="AC440" s="8">
        <f t="shared" si="23"/>
        <v>0</v>
      </c>
      <c r="AD440" s="18"/>
      <c r="AE440" s="18"/>
      <c r="AF440" s="8"/>
      <c r="AG440" s="18"/>
      <c r="AH440" s="8"/>
      <c r="AI440" s="8"/>
      <c r="AJ440" s="8">
        <v>42</v>
      </c>
      <c r="AK440" s="8">
        <f t="shared" si="21"/>
        <v>-98</v>
      </c>
      <c r="AL440" s="8">
        <f t="shared" si="22"/>
        <v>2991</v>
      </c>
      <c r="AM440" s="11"/>
    </row>
    <row r="441" spans="1:39" ht="24.95" customHeight="1">
      <c r="A441" s="20" t="s">
        <v>478</v>
      </c>
      <c r="B441" s="8">
        <v>0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8"/>
      <c r="N441" s="8"/>
      <c r="O441" s="8"/>
      <c r="P441" s="8"/>
      <c r="Q441" s="8"/>
      <c r="R441" s="8"/>
      <c r="S441" s="8"/>
      <c r="T441" s="8"/>
      <c r="U441" s="18"/>
      <c r="V441" s="18"/>
      <c r="W441" s="18"/>
      <c r="X441" s="18"/>
      <c r="Y441" s="18"/>
      <c r="Z441" s="8"/>
      <c r="AA441" s="18"/>
      <c r="AB441" s="18"/>
      <c r="AC441" s="8">
        <f t="shared" si="23"/>
        <v>0</v>
      </c>
      <c r="AD441" s="18"/>
      <c r="AE441" s="18"/>
      <c r="AF441" s="8"/>
      <c r="AG441" s="18"/>
      <c r="AH441" s="8"/>
      <c r="AI441" s="8"/>
      <c r="AJ441" s="8"/>
      <c r="AK441" s="8">
        <f t="shared" si="21"/>
        <v>0</v>
      </c>
      <c r="AL441" s="8">
        <f t="shared" si="22"/>
        <v>0</v>
      </c>
      <c r="AM441" s="9"/>
    </row>
    <row r="442" spans="1:39" ht="24.95" customHeight="1">
      <c r="A442" s="20" t="s">
        <v>479</v>
      </c>
      <c r="B442" s="8">
        <v>0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8"/>
      <c r="N442" s="8"/>
      <c r="O442" s="8"/>
      <c r="P442" s="8"/>
      <c r="Q442" s="8"/>
      <c r="R442" s="8"/>
      <c r="S442" s="8"/>
      <c r="T442" s="8"/>
      <c r="U442" s="18"/>
      <c r="V442" s="18"/>
      <c r="W442" s="18"/>
      <c r="X442" s="18"/>
      <c r="Y442" s="18"/>
      <c r="Z442" s="8"/>
      <c r="AA442" s="18"/>
      <c r="AB442" s="18"/>
      <c r="AC442" s="8">
        <f t="shared" si="23"/>
        <v>0</v>
      </c>
      <c r="AD442" s="18"/>
      <c r="AE442" s="18"/>
      <c r="AF442" s="8"/>
      <c r="AG442" s="18"/>
      <c r="AH442" s="8"/>
      <c r="AI442" s="8"/>
      <c r="AJ442" s="8"/>
      <c r="AK442" s="8">
        <f t="shared" si="21"/>
        <v>0</v>
      </c>
      <c r="AL442" s="8">
        <f t="shared" si="22"/>
        <v>0</v>
      </c>
      <c r="AM442" s="9"/>
    </row>
    <row r="443" spans="1:39" ht="24.95" customHeight="1">
      <c r="A443" s="20" t="s">
        <v>480</v>
      </c>
      <c r="B443" s="8">
        <v>0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8"/>
      <c r="N443" s="8"/>
      <c r="O443" s="8"/>
      <c r="P443" s="8"/>
      <c r="Q443" s="8"/>
      <c r="R443" s="8"/>
      <c r="S443" s="8"/>
      <c r="T443" s="8"/>
      <c r="U443" s="18"/>
      <c r="V443" s="18"/>
      <c r="W443" s="18"/>
      <c r="X443" s="18"/>
      <c r="Y443" s="18"/>
      <c r="Z443" s="8"/>
      <c r="AA443" s="18">
        <f>+(Z444*2)+(Z445*4)</f>
        <v>0</v>
      </c>
      <c r="AB443" s="18"/>
      <c r="AC443" s="8">
        <f t="shared" si="23"/>
        <v>0</v>
      </c>
      <c r="AD443" s="18"/>
      <c r="AE443" s="18"/>
      <c r="AF443" s="8"/>
      <c r="AG443" s="18"/>
      <c r="AH443" s="8"/>
      <c r="AI443" s="8"/>
      <c r="AJ443" s="8"/>
      <c r="AK443" s="8">
        <f t="shared" si="21"/>
        <v>0</v>
      </c>
      <c r="AL443" s="8">
        <f t="shared" si="22"/>
        <v>0</v>
      </c>
      <c r="AM443" s="9"/>
    </row>
    <row r="444" spans="1:39" ht="24.95" customHeight="1">
      <c r="A444" s="20" t="s">
        <v>481</v>
      </c>
      <c r="B444" s="8">
        <v>0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8"/>
      <c r="N444" s="8"/>
      <c r="O444" s="8"/>
      <c r="P444" s="8"/>
      <c r="Q444" s="8"/>
      <c r="R444" s="8"/>
      <c r="S444" s="8"/>
      <c r="T444" s="8"/>
      <c r="U444" s="18"/>
      <c r="V444" s="18"/>
      <c r="W444" s="18"/>
      <c r="X444" s="18"/>
      <c r="Y444" s="18"/>
      <c r="Z444" s="8"/>
      <c r="AA444" s="18"/>
      <c r="AB444" s="18"/>
      <c r="AC444" s="8">
        <f t="shared" si="23"/>
        <v>0</v>
      </c>
      <c r="AD444" s="18"/>
      <c r="AE444" s="18"/>
      <c r="AF444" s="8"/>
      <c r="AG444" s="18"/>
      <c r="AH444" s="8"/>
      <c r="AI444" s="8"/>
      <c r="AJ444" s="8"/>
      <c r="AK444" s="8">
        <f t="shared" si="21"/>
        <v>0</v>
      </c>
      <c r="AL444" s="8">
        <f t="shared" si="22"/>
        <v>0</v>
      </c>
      <c r="AM444" s="9"/>
    </row>
    <row r="445" spans="1:39" ht="24.95" customHeight="1">
      <c r="A445" s="20" t="s">
        <v>482</v>
      </c>
      <c r="B445" s="8">
        <v>0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8"/>
      <c r="N445" s="8"/>
      <c r="O445" s="8"/>
      <c r="P445" s="8"/>
      <c r="Q445" s="8"/>
      <c r="R445" s="8"/>
      <c r="S445" s="8"/>
      <c r="T445" s="8"/>
      <c r="U445" s="18"/>
      <c r="V445" s="18"/>
      <c r="W445" s="18"/>
      <c r="X445" s="18"/>
      <c r="Y445" s="18"/>
      <c r="Z445" s="8"/>
      <c r="AA445" s="18"/>
      <c r="AB445" s="18"/>
      <c r="AC445" s="8">
        <f t="shared" si="23"/>
        <v>0</v>
      </c>
      <c r="AD445" s="18"/>
      <c r="AE445" s="18"/>
      <c r="AF445" s="8"/>
      <c r="AG445" s="18"/>
      <c r="AH445" s="8"/>
      <c r="AI445" s="8"/>
      <c r="AJ445" s="8"/>
      <c r="AK445" s="8">
        <f t="shared" si="21"/>
        <v>0</v>
      </c>
      <c r="AL445" s="8">
        <f t="shared" si="22"/>
        <v>0</v>
      </c>
      <c r="AM445" s="9"/>
    </row>
    <row r="446" spans="1:39" ht="24.95" customHeight="1">
      <c r="A446" s="20" t="s">
        <v>483</v>
      </c>
      <c r="B446" s="8">
        <v>0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8"/>
      <c r="N446" s="8"/>
      <c r="O446" s="8"/>
      <c r="P446" s="8"/>
      <c r="Q446" s="8"/>
      <c r="R446" s="8"/>
      <c r="S446" s="8"/>
      <c r="T446" s="8"/>
      <c r="U446" s="18"/>
      <c r="V446" s="18"/>
      <c r="W446" s="18"/>
      <c r="X446" s="18"/>
      <c r="Y446" s="18"/>
      <c r="Z446" s="8"/>
      <c r="AA446" s="18">
        <f>+Z447*2</f>
        <v>0</v>
      </c>
      <c r="AB446" s="18"/>
      <c r="AC446" s="8">
        <f t="shared" si="23"/>
        <v>0</v>
      </c>
      <c r="AD446" s="18"/>
      <c r="AE446" s="18"/>
      <c r="AF446" s="8"/>
      <c r="AG446" s="18"/>
      <c r="AH446" s="8"/>
      <c r="AI446" s="8"/>
      <c r="AJ446" s="8"/>
      <c r="AK446" s="8">
        <f t="shared" si="21"/>
        <v>0</v>
      </c>
      <c r="AL446" s="8">
        <f t="shared" si="22"/>
        <v>0</v>
      </c>
      <c r="AM446" s="9"/>
    </row>
    <row r="447" spans="1:39" ht="24.95" customHeight="1">
      <c r="A447" s="20" t="s">
        <v>484</v>
      </c>
      <c r="B447" s="8">
        <v>0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8"/>
      <c r="N447" s="8"/>
      <c r="O447" s="8"/>
      <c r="P447" s="8"/>
      <c r="Q447" s="8"/>
      <c r="R447" s="8"/>
      <c r="S447" s="8"/>
      <c r="T447" s="8"/>
      <c r="U447" s="18"/>
      <c r="V447" s="18"/>
      <c r="W447" s="18"/>
      <c r="X447" s="18"/>
      <c r="Y447" s="18"/>
      <c r="Z447" s="8"/>
      <c r="AA447" s="18"/>
      <c r="AB447" s="18"/>
      <c r="AC447" s="8"/>
      <c r="AD447" s="18"/>
      <c r="AE447" s="18"/>
      <c r="AF447" s="8"/>
      <c r="AG447" s="18"/>
      <c r="AH447" s="8"/>
      <c r="AI447" s="8"/>
      <c r="AJ447" s="8"/>
      <c r="AK447" s="8">
        <f t="shared" si="21"/>
        <v>0</v>
      </c>
      <c r="AL447" s="8">
        <f t="shared" si="22"/>
        <v>0</v>
      </c>
      <c r="AM447" s="9"/>
    </row>
    <row r="448" spans="1:39" ht="24.95" customHeight="1">
      <c r="A448" s="20" t="s">
        <v>485</v>
      </c>
      <c r="B448" s="8">
        <v>1817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8"/>
      <c r="N448" s="8"/>
      <c r="O448" s="8"/>
      <c r="P448" s="8"/>
      <c r="Q448" s="8"/>
      <c r="R448" s="8"/>
      <c r="S448" s="8"/>
      <c r="T448" s="8"/>
      <c r="U448" s="18"/>
      <c r="V448" s="18"/>
      <c r="W448" s="18"/>
      <c r="X448" s="18"/>
      <c r="Y448" s="18"/>
      <c r="Z448" s="8"/>
      <c r="AA448" s="18">
        <f>+Z449*2</f>
        <v>0</v>
      </c>
      <c r="AB448" s="18"/>
      <c r="AC448" s="8">
        <f>+AB448</f>
        <v>0</v>
      </c>
      <c r="AD448" s="18"/>
      <c r="AE448" s="18"/>
      <c r="AF448" s="8"/>
      <c r="AG448" s="18"/>
      <c r="AH448" s="8"/>
      <c r="AI448" s="8"/>
      <c r="AJ448" s="8">
        <v>13</v>
      </c>
      <c r="AK448" s="8">
        <f t="shared" si="21"/>
        <v>-13</v>
      </c>
      <c r="AL448" s="8">
        <f t="shared" si="22"/>
        <v>1804</v>
      </c>
      <c r="AM448" s="9"/>
    </row>
    <row r="449" spans="1:39" ht="24.95" customHeight="1">
      <c r="A449" s="20" t="s">
        <v>486</v>
      </c>
      <c r="B449" s="8">
        <v>0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8"/>
      <c r="N449" s="8"/>
      <c r="O449" s="8"/>
      <c r="P449" s="8"/>
      <c r="Q449" s="8"/>
      <c r="R449" s="8"/>
      <c r="S449" s="8"/>
      <c r="T449" s="8"/>
      <c r="U449" s="18"/>
      <c r="V449" s="18"/>
      <c r="W449" s="18"/>
      <c r="X449" s="18"/>
      <c r="Y449" s="18"/>
      <c r="Z449" s="8"/>
      <c r="AA449" s="18"/>
      <c r="AB449" s="18"/>
      <c r="AC449" s="8"/>
      <c r="AD449" s="18"/>
      <c r="AE449" s="18"/>
      <c r="AF449" s="8"/>
      <c r="AG449" s="18"/>
      <c r="AH449" s="8"/>
      <c r="AI449" s="8"/>
      <c r="AJ449" s="8"/>
      <c r="AK449" s="8">
        <f t="shared" si="21"/>
        <v>0</v>
      </c>
      <c r="AL449" s="8">
        <f t="shared" si="22"/>
        <v>0</v>
      </c>
      <c r="AM449" s="9"/>
    </row>
    <row r="450" spans="1:39" ht="24.95" customHeight="1">
      <c r="A450" s="20" t="s">
        <v>487</v>
      </c>
      <c r="B450" s="8">
        <v>0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8"/>
      <c r="N450" s="8"/>
      <c r="O450" s="8"/>
      <c r="P450" s="8"/>
      <c r="Q450" s="8"/>
      <c r="R450" s="8"/>
      <c r="S450" s="8"/>
      <c r="T450" s="8"/>
      <c r="U450" s="18"/>
      <c r="V450" s="18"/>
      <c r="W450" s="18"/>
      <c r="X450" s="18"/>
      <c r="Y450" s="18"/>
      <c r="Z450" s="8"/>
      <c r="AA450" s="18"/>
      <c r="AB450" s="18"/>
      <c r="AC450" s="8">
        <f>+AB450</f>
        <v>0</v>
      </c>
      <c r="AD450" s="18"/>
      <c r="AE450" s="18"/>
      <c r="AF450" s="8"/>
      <c r="AG450" s="18"/>
      <c r="AH450" s="8"/>
      <c r="AI450" s="8"/>
      <c r="AJ450" s="8"/>
      <c r="AK450" s="8">
        <f t="shared" si="21"/>
        <v>0</v>
      </c>
      <c r="AL450" s="8">
        <f t="shared" si="22"/>
        <v>0</v>
      </c>
      <c r="AM450" s="9"/>
    </row>
    <row r="451" spans="1:39" ht="24.95" customHeight="1">
      <c r="A451" s="20" t="s">
        <v>488</v>
      </c>
      <c r="B451" s="8">
        <v>1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8"/>
      <c r="N451" s="8"/>
      <c r="O451" s="8"/>
      <c r="P451" s="8"/>
      <c r="Q451" s="8"/>
      <c r="R451" s="8"/>
      <c r="S451" s="8"/>
      <c r="T451" s="8"/>
      <c r="U451" s="18"/>
      <c r="V451" s="18"/>
      <c r="W451" s="18"/>
      <c r="X451" s="18"/>
      <c r="Y451" s="18"/>
      <c r="Z451" s="8"/>
      <c r="AA451" s="18"/>
      <c r="AB451" s="18"/>
      <c r="AC451" s="8">
        <f>+AB451</f>
        <v>0</v>
      </c>
      <c r="AD451" s="18"/>
      <c r="AE451" s="18"/>
      <c r="AF451" s="8"/>
      <c r="AG451" s="18"/>
      <c r="AH451" s="8"/>
      <c r="AI451" s="8"/>
      <c r="AJ451" s="8"/>
      <c r="AK451" s="8">
        <f t="shared" si="21"/>
        <v>0</v>
      </c>
      <c r="AL451" s="8">
        <f t="shared" si="22"/>
        <v>1</v>
      </c>
      <c r="AM451" s="9"/>
    </row>
    <row r="452" spans="1:39" ht="24.95" customHeight="1">
      <c r="A452" s="20" t="s">
        <v>489</v>
      </c>
      <c r="B452" s="8">
        <v>2898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8"/>
      <c r="N452" s="8"/>
      <c r="O452" s="8"/>
      <c r="P452" s="8"/>
      <c r="Q452" s="8"/>
      <c r="R452" s="8"/>
      <c r="S452" s="8"/>
      <c r="T452" s="8"/>
      <c r="U452" s="18"/>
      <c r="V452" s="18"/>
      <c r="W452" s="18"/>
      <c r="X452" s="18"/>
      <c r="Y452" s="18"/>
      <c r="Z452" s="8"/>
      <c r="AA452" s="18">
        <f>+Z453*2+Z454*3+Z456*4</f>
        <v>0</v>
      </c>
      <c r="AB452" s="18"/>
      <c r="AC452" s="8"/>
      <c r="AD452" s="18"/>
      <c r="AE452" s="18"/>
      <c r="AF452" s="8"/>
      <c r="AG452" s="18"/>
      <c r="AH452" s="8"/>
      <c r="AI452" s="8"/>
      <c r="AJ452" s="8">
        <v>5</v>
      </c>
      <c r="AK452" s="8">
        <f t="shared" ref="AK452:AK520" si="24">SUM((D452+P452+G452+L452+S452+X452+Z452+AD452+M452+J452+V452+AB452+F452+AG452+O452+AI452)+(-N452-E452-R452-Q452-T452-Y452-AA452-AE452-AJ452-K452-I452-H452-U452-AC452-AF452-AH452-W452))</f>
        <v>-5</v>
      </c>
      <c r="AL452" s="8">
        <f t="shared" ref="AL452:AL520" si="25">B452+AK452</f>
        <v>2893</v>
      </c>
      <c r="AM452" s="9"/>
    </row>
    <row r="453" spans="1:39" ht="24.95" customHeight="1">
      <c r="A453" s="20" t="s">
        <v>490</v>
      </c>
      <c r="B453" s="8">
        <v>0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8"/>
      <c r="N453" s="8"/>
      <c r="O453" s="8"/>
      <c r="P453" s="8"/>
      <c r="Q453" s="8"/>
      <c r="R453" s="8"/>
      <c r="S453" s="8"/>
      <c r="T453" s="8"/>
      <c r="U453" s="18"/>
      <c r="V453" s="18"/>
      <c r="W453" s="18"/>
      <c r="X453" s="18"/>
      <c r="Y453" s="18"/>
      <c r="Z453" s="8"/>
      <c r="AA453" s="18"/>
      <c r="AB453" s="18"/>
      <c r="AC453" s="8">
        <f>+AB453</f>
        <v>0</v>
      </c>
      <c r="AD453" s="18"/>
      <c r="AE453" s="18"/>
      <c r="AF453" s="8"/>
      <c r="AG453" s="18"/>
      <c r="AH453" s="8"/>
      <c r="AI453" s="8"/>
      <c r="AJ453" s="8"/>
      <c r="AK453" s="8">
        <f t="shared" si="24"/>
        <v>0</v>
      </c>
      <c r="AL453" s="8">
        <f t="shared" si="25"/>
        <v>0</v>
      </c>
      <c r="AM453" s="9"/>
    </row>
    <row r="454" spans="1:39" ht="24.95" customHeight="1">
      <c r="A454" s="20" t="s">
        <v>491</v>
      </c>
      <c r="B454" s="8">
        <v>0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8"/>
      <c r="N454" s="8"/>
      <c r="O454" s="8"/>
      <c r="P454" s="8"/>
      <c r="Q454" s="8"/>
      <c r="R454" s="8"/>
      <c r="S454" s="8"/>
      <c r="T454" s="8"/>
      <c r="U454" s="18"/>
      <c r="V454" s="18"/>
      <c r="W454" s="18"/>
      <c r="X454" s="18"/>
      <c r="Y454" s="18"/>
      <c r="Z454" s="8"/>
      <c r="AA454" s="18"/>
      <c r="AB454" s="18"/>
      <c r="AC454" s="8"/>
      <c r="AD454" s="18"/>
      <c r="AE454" s="18"/>
      <c r="AF454" s="8"/>
      <c r="AG454" s="18"/>
      <c r="AH454" s="8"/>
      <c r="AI454" s="8"/>
      <c r="AJ454" s="8"/>
      <c r="AK454" s="8">
        <f t="shared" si="24"/>
        <v>0</v>
      </c>
      <c r="AL454" s="8">
        <f t="shared" si="25"/>
        <v>0</v>
      </c>
      <c r="AM454" s="9"/>
    </row>
    <row r="455" spans="1:39" ht="24.95" customHeight="1">
      <c r="A455" s="20" t="s">
        <v>492</v>
      </c>
      <c r="B455" s="8">
        <v>0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8"/>
      <c r="N455" s="8"/>
      <c r="O455" s="8"/>
      <c r="P455" s="8"/>
      <c r="Q455" s="8"/>
      <c r="R455" s="8"/>
      <c r="S455" s="8"/>
      <c r="T455" s="8"/>
      <c r="U455" s="18"/>
      <c r="V455" s="18"/>
      <c r="W455" s="18"/>
      <c r="X455" s="18"/>
      <c r="Y455" s="18"/>
      <c r="Z455" s="8"/>
      <c r="AA455" s="18"/>
      <c r="AB455" s="18"/>
      <c r="AC455" s="8"/>
      <c r="AD455" s="18"/>
      <c r="AE455" s="18"/>
      <c r="AF455" s="8"/>
      <c r="AG455" s="18"/>
      <c r="AH455" s="8"/>
      <c r="AI455" s="8"/>
      <c r="AJ455" s="8"/>
      <c r="AK455" s="8">
        <f t="shared" si="24"/>
        <v>0</v>
      </c>
      <c r="AL455" s="8">
        <f t="shared" si="25"/>
        <v>0</v>
      </c>
      <c r="AM455" s="9"/>
    </row>
    <row r="456" spans="1:39" ht="24.95" customHeight="1">
      <c r="A456" s="20" t="s">
        <v>493</v>
      </c>
      <c r="B456" s="8">
        <v>0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8"/>
      <c r="N456" s="8"/>
      <c r="O456" s="8"/>
      <c r="P456" s="8"/>
      <c r="Q456" s="8"/>
      <c r="R456" s="8"/>
      <c r="S456" s="8"/>
      <c r="T456" s="8"/>
      <c r="U456" s="18"/>
      <c r="V456" s="18"/>
      <c r="W456" s="18"/>
      <c r="X456" s="18"/>
      <c r="Y456" s="18"/>
      <c r="Z456" s="8"/>
      <c r="AA456" s="18"/>
      <c r="AB456" s="18"/>
      <c r="AC456" s="8"/>
      <c r="AD456" s="18"/>
      <c r="AE456" s="18"/>
      <c r="AF456" s="8"/>
      <c r="AG456" s="18"/>
      <c r="AH456" s="8"/>
      <c r="AI456" s="8"/>
      <c r="AJ456" s="8"/>
      <c r="AK456" s="8">
        <f t="shared" si="24"/>
        <v>0</v>
      </c>
      <c r="AL456" s="8">
        <f t="shared" si="25"/>
        <v>0</v>
      </c>
      <c r="AM456" s="9"/>
    </row>
    <row r="457" spans="1:39" ht="24.95" customHeight="1">
      <c r="A457" s="20" t="s">
        <v>494</v>
      </c>
      <c r="B457" s="8">
        <v>0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8"/>
      <c r="N457" s="8"/>
      <c r="O457" s="8"/>
      <c r="P457" s="8"/>
      <c r="Q457" s="8"/>
      <c r="R457" s="8"/>
      <c r="S457" s="8"/>
      <c r="T457" s="8"/>
      <c r="U457" s="18"/>
      <c r="V457" s="18"/>
      <c r="W457" s="18"/>
      <c r="X457" s="18">
        <f>+Y458*2</f>
        <v>0</v>
      </c>
      <c r="Y457" s="18"/>
      <c r="Z457" s="8"/>
      <c r="AA457" s="18">
        <f>+(Z458*2)+(Z459*4)</f>
        <v>0</v>
      </c>
      <c r="AB457" s="18"/>
      <c r="AC457" s="8">
        <f>+AB457</f>
        <v>0</v>
      </c>
      <c r="AD457" s="18"/>
      <c r="AE457" s="18"/>
      <c r="AF457" s="8"/>
      <c r="AG457" s="18"/>
      <c r="AH457" s="8"/>
      <c r="AI457" s="8"/>
      <c r="AJ457" s="8"/>
      <c r="AK457" s="8">
        <f t="shared" si="24"/>
        <v>0</v>
      </c>
      <c r="AL457" s="8">
        <f t="shared" si="25"/>
        <v>0</v>
      </c>
      <c r="AM457" s="9"/>
    </row>
    <row r="458" spans="1:39" ht="24.95" customHeight="1">
      <c r="A458" s="20" t="s">
        <v>495</v>
      </c>
      <c r="B458" s="8">
        <v>0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8"/>
      <c r="N458" s="8"/>
      <c r="O458" s="8"/>
      <c r="P458" s="8"/>
      <c r="Q458" s="8"/>
      <c r="R458" s="8"/>
      <c r="S458" s="8"/>
      <c r="T458" s="8"/>
      <c r="U458" s="18"/>
      <c r="V458" s="18"/>
      <c r="W458" s="18"/>
      <c r="X458" s="18"/>
      <c r="Y458" s="18"/>
      <c r="Z458" s="8"/>
      <c r="AA458" s="18"/>
      <c r="AB458" s="18"/>
      <c r="AC458" s="8">
        <f>+AB458</f>
        <v>0</v>
      </c>
      <c r="AD458" s="18"/>
      <c r="AE458" s="18"/>
      <c r="AF458" s="8"/>
      <c r="AG458" s="18"/>
      <c r="AH458" s="8"/>
      <c r="AI458" s="8"/>
      <c r="AJ458" s="8"/>
      <c r="AK458" s="8">
        <f t="shared" si="24"/>
        <v>0</v>
      </c>
      <c r="AL458" s="8">
        <f t="shared" si="25"/>
        <v>0</v>
      </c>
      <c r="AM458" s="9"/>
    </row>
    <row r="459" spans="1:39" ht="24.95" customHeight="1">
      <c r="A459" s="20" t="s">
        <v>496</v>
      </c>
      <c r="B459" s="8">
        <v>0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8"/>
      <c r="N459" s="8"/>
      <c r="O459" s="8"/>
      <c r="P459" s="8"/>
      <c r="Q459" s="8"/>
      <c r="R459" s="8"/>
      <c r="S459" s="8"/>
      <c r="T459" s="8"/>
      <c r="U459" s="18"/>
      <c r="V459" s="18"/>
      <c r="W459" s="18"/>
      <c r="X459" s="18"/>
      <c r="Y459" s="18"/>
      <c r="Z459" s="8"/>
      <c r="AA459" s="18"/>
      <c r="AB459" s="18"/>
      <c r="AC459" s="8">
        <f>+AB459</f>
        <v>0</v>
      </c>
      <c r="AD459" s="18"/>
      <c r="AE459" s="18"/>
      <c r="AF459" s="8"/>
      <c r="AG459" s="18"/>
      <c r="AH459" s="8"/>
      <c r="AI459" s="8"/>
      <c r="AJ459" s="8"/>
      <c r="AK459" s="8">
        <f t="shared" si="24"/>
        <v>0</v>
      </c>
      <c r="AL459" s="8">
        <f t="shared" si="25"/>
        <v>0</v>
      </c>
      <c r="AM459" s="9"/>
    </row>
    <row r="460" spans="1:39" ht="24.95" customHeight="1">
      <c r="A460" s="20" t="s">
        <v>497</v>
      </c>
      <c r="B460" s="8">
        <v>0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8"/>
      <c r="N460" s="8"/>
      <c r="O460" s="8"/>
      <c r="P460" s="8"/>
      <c r="Q460" s="8"/>
      <c r="R460" s="8"/>
      <c r="S460" s="8"/>
      <c r="T460" s="8"/>
      <c r="U460" s="18"/>
      <c r="V460" s="18"/>
      <c r="W460" s="18"/>
      <c r="X460" s="18"/>
      <c r="Y460" s="18"/>
      <c r="Z460" s="8"/>
      <c r="AA460" s="18"/>
      <c r="AB460" s="18"/>
      <c r="AC460" s="8">
        <f>+AB460</f>
        <v>0</v>
      </c>
      <c r="AD460" s="18"/>
      <c r="AE460" s="18"/>
      <c r="AF460" s="8"/>
      <c r="AG460" s="18"/>
      <c r="AH460" s="8"/>
      <c r="AI460" s="8"/>
      <c r="AJ460" s="8"/>
      <c r="AK460" s="8">
        <f t="shared" si="24"/>
        <v>0</v>
      </c>
      <c r="AL460" s="8">
        <f t="shared" si="25"/>
        <v>0</v>
      </c>
      <c r="AM460" s="9"/>
    </row>
    <row r="461" spans="1:39" ht="24.95" customHeight="1">
      <c r="A461" s="20" t="s">
        <v>498</v>
      </c>
      <c r="B461" s="8">
        <v>0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8"/>
      <c r="N461" s="8"/>
      <c r="O461" s="8"/>
      <c r="P461" s="8"/>
      <c r="Q461" s="8"/>
      <c r="R461" s="8"/>
      <c r="S461" s="8"/>
      <c r="T461" s="8"/>
      <c r="U461" s="18"/>
      <c r="V461" s="18"/>
      <c r="W461" s="18"/>
      <c r="X461" s="18">
        <f>+Y465*3+Y464*2</f>
        <v>26</v>
      </c>
      <c r="Y461" s="18"/>
      <c r="Z461" s="8"/>
      <c r="AA461" s="18">
        <f>+Z464*2+Z465*3</f>
        <v>0</v>
      </c>
      <c r="AB461" s="18"/>
      <c r="AC461" s="8"/>
      <c r="AD461" s="18"/>
      <c r="AE461" s="18">
        <f>+AD463</f>
        <v>0</v>
      </c>
      <c r="AF461" s="8"/>
      <c r="AG461" s="18"/>
      <c r="AH461" s="8"/>
      <c r="AI461" s="8"/>
      <c r="AJ461" s="8">
        <v>25</v>
      </c>
      <c r="AK461" s="8">
        <f t="shared" si="24"/>
        <v>1</v>
      </c>
      <c r="AL461" s="8">
        <f t="shared" si="25"/>
        <v>1</v>
      </c>
      <c r="AM461" s="9"/>
    </row>
    <row r="462" spans="1:39" ht="24.95" customHeight="1">
      <c r="A462" s="20" t="s">
        <v>499</v>
      </c>
      <c r="B462" s="8">
        <v>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8"/>
      <c r="N462" s="8"/>
      <c r="O462" s="8"/>
      <c r="P462" s="8"/>
      <c r="Q462" s="8"/>
      <c r="R462" s="8"/>
      <c r="S462" s="8"/>
      <c r="T462" s="8"/>
      <c r="U462" s="18"/>
      <c r="V462" s="18"/>
      <c r="W462" s="18"/>
      <c r="X462" s="18"/>
      <c r="Y462" s="18"/>
      <c r="Z462" s="8"/>
      <c r="AA462" s="18"/>
      <c r="AB462" s="18"/>
      <c r="AC462" s="8">
        <f>+AB462</f>
        <v>0</v>
      </c>
      <c r="AD462" s="18"/>
      <c r="AE462" s="18"/>
      <c r="AF462" s="8"/>
      <c r="AG462" s="18"/>
      <c r="AH462" s="8"/>
      <c r="AI462" s="8"/>
      <c r="AJ462" s="8"/>
      <c r="AK462" s="8">
        <f t="shared" si="24"/>
        <v>0</v>
      </c>
      <c r="AL462" s="8">
        <f t="shared" si="25"/>
        <v>0</v>
      </c>
      <c r="AM462" s="9"/>
    </row>
    <row r="463" spans="1:39" ht="24.95" customHeight="1">
      <c r="A463" s="20" t="s">
        <v>500</v>
      </c>
      <c r="B463" s="8">
        <v>0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8"/>
      <c r="N463" s="8"/>
      <c r="O463" s="8"/>
      <c r="P463" s="8"/>
      <c r="Q463" s="8"/>
      <c r="R463" s="8"/>
      <c r="S463" s="8"/>
      <c r="T463" s="8"/>
      <c r="U463" s="18"/>
      <c r="V463" s="18"/>
      <c r="W463" s="18"/>
      <c r="X463" s="18"/>
      <c r="Y463" s="18"/>
      <c r="Z463" s="8"/>
      <c r="AA463" s="18"/>
      <c r="AB463" s="18"/>
      <c r="AC463" s="8"/>
      <c r="AD463" s="18"/>
      <c r="AE463" s="18"/>
      <c r="AF463" s="8"/>
      <c r="AG463" s="18"/>
      <c r="AH463" s="8"/>
      <c r="AI463" s="8"/>
      <c r="AJ463" s="8"/>
      <c r="AK463" s="8">
        <f t="shared" si="24"/>
        <v>0</v>
      </c>
      <c r="AL463" s="8">
        <f t="shared" si="25"/>
        <v>0</v>
      </c>
      <c r="AM463" s="9"/>
    </row>
    <row r="464" spans="1:39" ht="24.95" customHeight="1">
      <c r="A464" s="20" t="s">
        <v>501</v>
      </c>
      <c r="B464" s="8">
        <v>1618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8"/>
      <c r="N464" s="8"/>
      <c r="O464" s="8"/>
      <c r="P464" s="8"/>
      <c r="Q464" s="8"/>
      <c r="R464" s="8"/>
      <c r="S464" s="8"/>
      <c r="T464" s="8"/>
      <c r="U464" s="18"/>
      <c r="V464" s="18"/>
      <c r="W464" s="18"/>
      <c r="X464" s="18"/>
      <c r="Y464" s="18">
        <v>13</v>
      </c>
      <c r="Z464" s="8"/>
      <c r="AA464" s="18"/>
      <c r="AB464" s="18"/>
      <c r="AC464" s="8">
        <f t="shared" ref="AC464:AC470" si="26">+AB464</f>
        <v>0</v>
      </c>
      <c r="AD464" s="18"/>
      <c r="AE464" s="18"/>
      <c r="AF464" s="8"/>
      <c r="AG464" s="18"/>
      <c r="AH464" s="8"/>
      <c r="AI464" s="8"/>
      <c r="AJ464" s="8"/>
      <c r="AK464" s="8">
        <f t="shared" si="24"/>
        <v>-13</v>
      </c>
      <c r="AL464" s="8">
        <f t="shared" si="25"/>
        <v>1605</v>
      </c>
      <c r="AM464" s="9"/>
    </row>
    <row r="465" spans="1:39" ht="24.95" customHeight="1">
      <c r="A465" s="20" t="s">
        <v>502</v>
      </c>
      <c r="B465" s="8">
        <v>2736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8"/>
      <c r="N465" s="8"/>
      <c r="O465" s="8"/>
      <c r="P465" s="8"/>
      <c r="Q465" s="8"/>
      <c r="R465" s="8"/>
      <c r="S465" s="8"/>
      <c r="T465" s="8"/>
      <c r="U465" s="18"/>
      <c r="V465" s="18"/>
      <c r="W465" s="18"/>
      <c r="X465" s="18"/>
      <c r="Y465" s="18"/>
      <c r="Z465" s="8"/>
      <c r="AA465" s="18"/>
      <c r="AB465" s="18"/>
      <c r="AC465" s="8">
        <f t="shared" si="26"/>
        <v>0</v>
      </c>
      <c r="AD465" s="18"/>
      <c r="AE465" s="18"/>
      <c r="AF465" s="8"/>
      <c r="AG465" s="18"/>
      <c r="AH465" s="8"/>
      <c r="AI465" s="8"/>
      <c r="AJ465" s="8"/>
      <c r="AK465" s="8">
        <f t="shared" si="24"/>
        <v>0</v>
      </c>
      <c r="AL465" s="8">
        <f t="shared" si="25"/>
        <v>2736</v>
      </c>
      <c r="AM465" s="9"/>
    </row>
    <row r="466" spans="1:39" ht="24.95" customHeight="1">
      <c r="A466" s="20" t="s">
        <v>503</v>
      </c>
      <c r="B466" s="8">
        <v>0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8"/>
      <c r="N466" s="8"/>
      <c r="O466" s="8"/>
      <c r="P466" s="8"/>
      <c r="Q466" s="8"/>
      <c r="R466" s="8"/>
      <c r="S466" s="8"/>
      <c r="T466" s="8"/>
      <c r="U466" s="18"/>
      <c r="V466" s="18"/>
      <c r="W466" s="18"/>
      <c r="X466" s="18"/>
      <c r="Y466" s="18"/>
      <c r="Z466" s="8"/>
      <c r="AA466" s="18"/>
      <c r="AB466" s="18"/>
      <c r="AC466" s="8">
        <f t="shared" si="26"/>
        <v>0</v>
      </c>
      <c r="AD466" s="18"/>
      <c r="AE466" s="18"/>
      <c r="AF466" s="8"/>
      <c r="AG466" s="18"/>
      <c r="AH466" s="8"/>
      <c r="AI466" s="8"/>
      <c r="AJ466" s="8"/>
      <c r="AK466" s="8">
        <f t="shared" si="24"/>
        <v>0</v>
      </c>
      <c r="AL466" s="8">
        <f t="shared" si="25"/>
        <v>0</v>
      </c>
      <c r="AM466" s="9"/>
    </row>
    <row r="467" spans="1:39" ht="24.95" customHeight="1">
      <c r="A467" s="20" t="s">
        <v>504</v>
      </c>
      <c r="B467" s="8">
        <v>0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8"/>
      <c r="N467" s="8"/>
      <c r="O467" s="8"/>
      <c r="P467" s="8"/>
      <c r="Q467" s="8"/>
      <c r="R467" s="8"/>
      <c r="S467" s="8"/>
      <c r="T467" s="8"/>
      <c r="U467" s="18"/>
      <c r="V467" s="18"/>
      <c r="W467" s="18"/>
      <c r="X467" s="18"/>
      <c r="Y467" s="18"/>
      <c r="Z467" s="8"/>
      <c r="AA467" s="18"/>
      <c r="AB467" s="18"/>
      <c r="AC467" s="8">
        <f t="shared" si="26"/>
        <v>0</v>
      </c>
      <c r="AD467" s="18"/>
      <c r="AE467" s="18"/>
      <c r="AF467" s="8"/>
      <c r="AG467" s="18"/>
      <c r="AH467" s="8"/>
      <c r="AI467" s="8"/>
      <c r="AJ467" s="8"/>
      <c r="AK467" s="8">
        <f t="shared" si="24"/>
        <v>0</v>
      </c>
      <c r="AL467" s="8">
        <f t="shared" si="25"/>
        <v>0</v>
      </c>
      <c r="AM467" s="9"/>
    </row>
    <row r="468" spans="1:39" ht="24.95" customHeight="1">
      <c r="A468" s="20" t="s">
        <v>505</v>
      </c>
      <c r="B468" s="8">
        <v>6163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8"/>
      <c r="N468" s="8"/>
      <c r="O468" s="8"/>
      <c r="P468" s="8"/>
      <c r="Q468" s="8"/>
      <c r="R468" s="8"/>
      <c r="S468" s="8"/>
      <c r="T468" s="8"/>
      <c r="U468" s="18"/>
      <c r="V468" s="18"/>
      <c r="W468" s="18"/>
      <c r="X468" s="18"/>
      <c r="Y468" s="18"/>
      <c r="Z468" s="8"/>
      <c r="AA468" s="18">
        <f>+Z469*2+Z470*2+Z471*3</f>
        <v>0</v>
      </c>
      <c r="AB468" s="18"/>
      <c r="AC468" s="8">
        <f t="shared" si="26"/>
        <v>0</v>
      </c>
      <c r="AD468" s="18"/>
      <c r="AE468" s="18"/>
      <c r="AF468" s="8"/>
      <c r="AG468" s="18"/>
      <c r="AH468" s="8"/>
      <c r="AI468" s="8"/>
      <c r="AJ468" s="8"/>
      <c r="AK468" s="8">
        <f t="shared" si="24"/>
        <v>0</v>
      </c>
      <c r="AL468" s="8">
        <f t="shared" si="25"/>
        <v>6163</v>
      </c>
      <c r="AM468" s="9"/>
    </row>
    <row r="469" spans="1:39" ht="24.95" customHeight="1">
      <c r="A469" s="20" t="s">
        <v>506</v>
      </c>
      <c r="B469" s="8">
        <v>0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8"/>
      <c r="N469" s="8"/>
      <c r="O469" s="8"/>
      <c r="P469" s="8"/>
      <c r="Q469" s="8"/>
      <c r="R469" s="8"/>
      <c r="S469" s="8"/>
      <c r="T469" s="8"/>
      <c r="U469" s="18"/>
      <c r="V469" s="18"/>
      <c r="W469" s="18"/>
      <c r="X469" s="18"/>
      <c r="Y469" s="18"/>
      <c r="Z469" s="8"/>
      <c r="AA469" s="18"/>
      <c r="AB469" s="18"/>
      <c r="AC469" s="8">
        <f t="shared" si="26"/>
        <v>0</v>
      </c>
      <c r="AD469" s="18"/>
      <c r="AE469" s="18"/>
      <c r="AF469" s="8"/>
      <c r="AG469" s="18"/>
      <c r="AH469" s="8"/>
      <c r="AI469" s="8"/>
      <c r="AJ469" s="8"/>
      <c r="AK469" s="8">
        <f t="shared" si="24"/>
        <v>0</v>
      </c>
      <c r="AL469" s="8">
        <f t="shared" si="25"/>
        <v>0</v>
      </c>
      <c r="AM469" s="9"/>
    </row>
    <row r="470" spans="1:39" ht="24.95" customHeight="1">
      <c r="A470" s="20" t="s">
        <v>507</v>
      </c>
      <c r="B470" s="8">
        <v>0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8"/>
      <c r="N470" s="8"/>
      <c r="O470" s="8"/>
      <c r="P470" s="8"/>
      <c r="Q470" s="8"/>
      <c r="R470" s="8"/>
      <c r="S470" s="8"/>
      <c r="T470" s="8"/>
      <c r="U470" s="18"/>
      <c r="V470" s="18"/>
      <c r="W470" s="18"/>
      <c r="X470" s="18"/>
      <c r="Y470" s="18"/>
      <c r="Z470" s="8"/>
      <c r="AA470" s="18"/>
      <c r="AB470" s="18"/>
      <c r="AC470" s="8">
        <f t="shared" si="26"/>
        <v>0</v>
      </c>
      <c r="AD470" s="18"/>
      <c r="AE470" s="18"/>
      <c r="AF470" s="8"/>
      <c r="AG470" s="18"/>
      <c r="AH470" s="8"/>
      <c r="AI470" s="8"/>
      <c r="AJ470" s="8"/>
      <c r="AK470" s="8">
        <f t="shared" si="24"/>
        <v>0</v>
      </c>
      <c r="AL470" s="8">
        <f t="shared" si="25"/>
        <v>0</v>
      </c>
      <c r="AM470" s="9"/>
    </row>
    <row r="471" spans="1:39" ht="24.95" customHeight="1">
      <c r="A471" s="20" t="s">
        <v>508</v>
      </c>
      <c r="B471" s="8">
        <v>0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8"/>
      <c r="N471" s="8"/>
      <c r="O471" s="8"/>
      <c r="P471" s="8"/>
      <c r="Q471" s="8"/>
      <c r="R471" s="8"/>
      <c r="S471" s="8"/>
      <c r="T471" s="8"/>
      <c r="U471" s="18"/>
      <c r="V471" s="18"/>
      <c r="W471" s="18"/>
      <c r="X471" s="18"/>
      <c r="Y471" s="18"/>
      <c r="Z471" s="8"/>
      <c r="AA471" s="18"/>
      <c r="AB471" s="18"/>
      <c r="AC471" s="8"/>
      <c r="AD471" s="18"/>
      <c r="AE471" s="18"/>
      <c r="AF471" s="8"/>
      <c r="AG471" s="18"/>
      <c r="AH471" s="8"/>
      <c r="AI471" s="8"/>
      <c r="AJ471" s="8"/>
      <c r="AK471" s="8">
        <f t="shared" si="24"/>
        <v>0</v>
      </c>
      <c r="AL471" s="8">
        <f t="shared" si="25"/>
        <v>0</v>
      </c>
      <c r="AM471" s="9"/>
    </row>
    <row r="472" spans="1:39" ht="24.95" customHeight="1">
      <c r="A472" s="20" t="s">
        <v>509</v>
      </c>
      <c r="B472" s="8">
        <v>7809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8"/>
      <c r="N472" s="8"/>
      <c r="O472" s="8"/>
      <c r="P472" s="8"/>
      <c r="Q472" s="8"/>
      <c r="R472" s="8"/>
      <c r="S472" s="8"/>
      <c r="T472" s="8"/>
      <c r="U472" s="18"/>
      <c r="V472" s="18"/>
      <c r="W472" s="18"/>
      <c r="X472" s="18"/>
      <c r="Y472" s="18"/>
      <c r="Z472" s="8"/>
      <c r="AA472" s="18">
        <f>+Z473*2</f>
        <v>0</v>
      </c>
      <c r="AB472" s="18"/>
      <c r="AC472" s="8">
        <f>+AB472</f>
        <v>0</v>
      </c>
      <c r="AD472" s="18"/>
      <c r="AE472" s="18"/>
      <c r="AF472" s="8"/>
      <c r="AG472" s="18"/>
      <c r="AH472" s="8"/>
      <c r="AI472" s="8"/>
      <c r="AJ472" s="8">
        <v>1</v>
      </c>
      <c r="AK472" s="8">
        <f t="shared" si="24"/>
        <v>-1</v>
      </c>
      <c r="AL472" s="8">
        <f t="shared" si="25"/>
        <v>7808</v>
      </c>
      <c r="AM472" s="9"/>
    </row>
    <row r="473" spans="1:39" ht="24.95" customHeight="1">
      <c r="A473" s="20" t="s">
        <v>510</v>
      </c>
      <c r="B473" s="8">
        <v>0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8"/>
      <c r="N473" s="8"/>
      <c r="O473" s="8"/>
      <c r="P473" s="8"/>
      <c r="Q473" s="8"/>
      <c r="R473" s="8"/>
      <c r="S473" s="8"/>
      <c r="T473" s="8"/>
      <c r="U473" s="18"/>
      <c r="V473" s="18"/>
      <c r="W473" s="18"/>
      <c r="X473" s="18"/>
      <c r="Y473" s="18"/>
      <c r="Z473" s="8"/>
      <c r="AA473" s="18"/>
      <c r="AB473" s="18"/>
      <c r="AC473" s="8">
        <f>+AB473</f>
        <v>0</v>
      </c>
      <c r="AD473" s="18"/>
      <c r="AE473" s="18"/>
      <c r="AF473" s="8"/>
      <c r="AG473" s="18"/>
      <c r="AH473" s="8"/>
      <c r="AI473" s="8"/>
      <c r="AJ473" s="8"/>
      <c r="AK473" s="8">
        <f t="shared" si="24"/>
        <v>0</v>
      </c>
      <c r="AL473" s="8">
        <f t="shared" si="25"/>
        <v>0</v>
      </c>
      <c r="AM473" s="9"/>
    </row>
    <row r="474" spans="1:39" ht="24.95" customHeight="1">
      <c r="A474" s="20" t="s">
        <v>511</v>
      </c>
      <c r="B474" s="8">
        <v>0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8"/>
      <c r="N474" s="8"/>
      <c r="O474" s="8"/>
      <c r="P474" s="8"/>
      <c r="Q474" s="8"/>
      <c r="R474" s="8"/>
      <c r="S474" s="8"/>
      <c r="T474" s="8"/>
      <c r="U474" s="18"/>
      <c r="V474" s="18"/>
      <c r="W474" s="18"/>
      <c r="X474" s="18"/>
      <c r="Y474" s="18"/>
      <c r="Z474" s="8"/>
      <c r="AA474" s="18"/>
      <c r="AB474" s="18"/>
      <c r="AC474" s="8"/>
      <c r="AD474" s="18"/>
      <c r="AE474" s="18"/>
      <c r="AF474" s="8"/>
      <c r="AG474" s="18"/>
      <c r="AH474" s="8"/>
      <c r="AI474" s="8"/>
      <c r="AJ474" s="8"/>
      <c r="AK474" s="8">
        <f t="shared" si="24"/>
        <v>0</v>
      </c>
      <c r="AL474" s="8">
        <f t="shared" si="25"/>
        <v>0</v>
      </c>
      <c r="AM474" s="9"/>
    </row>
    <row r="475" spans="1:39" ht="24.95" customHeight="1">
      <c r="A475" s="20" t="s">
        <v>512</v>
      </c>
      <c r="B475" s="8">
        <v>11259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8"/>
      <c r="N475" s="8"/>
      <c r="O475" s="8"/>
      <c r="P475" s="8"/>
      <c r="Q475" s="8"/>
      <c r="R475" s="8"/>
      <c r="S475" s="8"/>
      <c r="T475" s="8"/>
      <c r="U475" s="18"/>
      <c r="V475" s="18"/>
      <c r="W475" s="18"/>
      <c r="X475" s="18"/>
      <c r="Y475" s="18"/>
      <c r="Z475" s="8"/>
      <c r="AA475" s="18">
        <f>+Z476*2</f>
        <v>0</v>
      </c>
      <c r="AB475" s="18"/>
      <c r="AC475" s="8">
        <f>+AB475</f>
        <v>0</v>
      </c>
      <c r="AD475" s="18"/>
      <c r="AE475" s="18">
        <f>+AD474</f>
        <v>0</v>
      </c>
      <c r="AF475" s="8"/>
      <c r="AG475" s="18"/>
      <c r="AH475" s="8"/>
      <c r="AI475" s="8"/>
      <c r="AJ475" s="8">
        <v>14</v>
      </c>
      <c r="AK475" s="8">
        <f t="shared" si="24"/>
        <v>-14</v>
      </c>
      <c r="AL475" s="8">
        <f t="shared" si="25"/>
        <v>11245</v>
      </c>
      <c r="AM475" s="9"/>
    </row>
    <row r="476" spans="1:39" ht="24.95" customHeight="1">
      <c r="A476" s="20" t="s">
        <v>513</v>
      </c>
      <c r="B476" s="8">
        <v>0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8"/>
      <c r="N476" s="8"/>
      <c r="O476" s="8"/>
      <c r="P476" s="8"/>
      <c r="Q476" s="8"/>
      <c r="R476" s="8"/>
      <c r="S476" s="8"/>
      <c r="T476" s="8"/>
      <c r="U476" s="18"/>
      <c r="V476" s="18"/>
      <c r="W476" s="18"/>
      <c r="X476" s="18"/>
      <c r="Y476" s="18"/>
      <c r="Z476" s="8"/>
      <c r="AA476" s="18"/>
      <c r="AB476" s="18"/>
      <c r="AC476" s="8"/>
      <c r="AD476" s="18"/>
      <c r="AE476" s="18"/>
      <c r="AF476" s="8"/>
      <c r="AG476" s="18"/>
      <c r="AH476" s="8"/>
      <c r="AI476" s="8"/>
      <c r="AJ476" s="8"/>
      <c r="AK476" s="8">
        <f t="shared" si="24"/>
        <v>0</v>
      </c>
      <c r="AL476" s="8">
        <f t="shared" si="25"/>
        <v>0</v>
      </c>
      <c r="AM476" s="9"/>
    </row>
    <row r="477" spans="1:39" ht="24.95" customHeight="1">
      <c r="A477" s="20" t="s">
        <v>514</v>
      </c>
      <c r="B477" s="8">
        <v>1967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8"/>
      <c r="N477" s="8"/>
      <c r="O477" s="8"/>
      <c r="P477" s="8"/>
      <c r="Q477" s="8"/>
      <c r="R477" s="8"/>
      <c r="S477" s="8"/>
      <c r="T477" s="8"/>
      <c r="U477" s="18"/>
      <c r="V477" s="18"/>
      <c r="W477" s="18"/>
      <c r="X477" s="18"/>
      <c r="Y477" s="18"/>
      <c r="Z477" s="8"/>
      <c r="AA477" s="18"/>
      <c r="AB477" s="18"/>
      <c r="AC477" s="8">
        <f>+AB477</f>
        <v>0</v>
      </c>
      <c r="AD477" s="18"/>
      <c r="AE477" s="18"/>
      <c r="AF477" s="8"/>
      <c r="AG477" s="18"/>
      <c r="AH477" s="8"/>
      <c r="AI477" s="8"/>
      <c r="AJ477" s="8">
        <v>1</v>
      </c>
      <c r="AK477" s="8">
        <f t="shared" si="24"/>
        <v>-1</v>
      </c>
      <c r="AL477" s="8">
        <f t="shared" si="25"/>
        <v>1966</v>
      </c>
      <c r="AM477" s="9"/>
    </row>
    <row r="478" spans="1:39" ht="24.95" customHeight="1">
      <c r="A478" s="20" t="s">
        <v>515</v>
      </c>
      <c r="B478" s="8">
        <v>1884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8"/>
      <c r="N478" s="8"/>
      <c r="O478" s="8"/>
      <c r="P478" s="8"/>
      <c r="Q478" s="8"/>
      <c r="R478" s="8"/>
      <c r="S478" s="8"/>
      <c r="T478" s="8"/>
      <c r="U478" s="18"/>
      <c r="V478" s="18"/>
      <c r="W478" s="18"/>
      <c r="X478" s="18"/>
      <c r="Y478" s="18"/>
      <c r="Z478" s="8"/>
      <c r="AA478" s="18">
        <f>+Z479*2+Z480*3</f>
        <v>0</v>
      </c>
      <c r="AB478" s="18"/>
      <c r="AC478" s="8">
        <f>+AB478</f>
        <v>0</v>
      </c>
      <c r="AD478" s="18"/>
      <c r="AE478" s="18"/>
      <c r="AF478" s="8"/>
      <c r="AG478" s="18"/>
      <c r="AH478" s="8"/>
      <c r="AI478" s="8"/>
      <c r="AJ478" s="8">
        <v>2</v>
      </c>
      <c r="AK478" s="8">
        <f t="shared" si="24"/>
        <v>-2</v>
      </c>
      <c r="AL478" s="8">
        <f t="shared" si="25"/>
        <v>1882</v>
      </c>
      <c r="AM478" s="9"/>
    </row>
    <row r="479" spans="1:39" ht="24.95" customHeight="1">
      <c r="A479" s="7" t="s">
        <v>516</v>
      </c>
      <c r="B479" s="8">
        <v>3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8"/>
      <c r="N479" s="8"/>
      <c r="O479" s="8"/>
      <c r="P479" s="8"/>
      <c r="Q479" s="8"/>
      <c r="R479" s="8"/>
      <c r="S479" s="8"/>
      <c r="T479" s="8"/>
      <c r="U479" s="18"/>
      <c r="V479" s="18"/>
      <c r="W479" s="18"/>
      <c r="X479" s="18"/>
      <c r="Y479" s="18"/>
      <c r="Z479" s="8"/>
      <c r="AA479" s="18"/>
      <c r="AB479" s="18"/>
      <c r="AC479" s="8">
        <f>+AB479</f>
        <v>0</v>
      </c>
      <c r="AD479" s="18"/>
      <c r="AE479" s="18"/>
      <c r="AF479" s="8"/>
      <c r="AG479" s="18"/>
      <c r="AH479" s="8"/>
      <c r="AI479" s="8"/>
      <c r="AJ479" s="8"/>
      <c r="AK479" s="8">
        <f t="shared" si="24"/>
        <v>0</v>
      </c>
      <c r="AL479" s="8">
        <f t="shared" si="25"/>
        <v>3</v>
      </c>
      <c r="AM479" s="9"/>
    </row>
    <row r="480" spans="1:39" ht="24.95" customHeight="1">
      <c r="A480" s="7" t="s">
        <v>517</v>
      </c>
      <c r="B480" s="8">
        <v>0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8"/>
      <c r="N480" s="8"/>
      <c r="O480" s="8"/>
      <c r="P480" s="8"/>
      <c r="Q480" s="8"/>
      <c r="R480" s="8"/>
      <c r="S480" s="8"/>
      <c r="T480" s="8"/>
      <c r="U480" s="18"/>
      <c r="V480" s="18"/>
      <c r="W480" s="18"/>
      <c r="X480" s="18"/>
      <c r="Y480" s="18"/>
      <c r="Z480" s="8"/>
      <c r="AA480" s="18"/>
      <c r="AB480" s="18"/>
      <c r="AC480" s="8"/>
      <c r="AD480" s="18"/>
      <c r="AE480" s="18"/>
      <c r="AF480" s="8"/>
      <c r="AG480" s="18"/>
      <c r="AH480" s="8"/>
      <c r="AI480" s="8"/>
      <c r="AJ480" s="8"/>
      <c r="AK480" s="8">
        <f t="shared" si="24"/>
        <v>0</v>
      </c>
      <c r="AL480" s="8">
        <f t="shared" si="25"/>
        <v>0</v>
      </c>
      <c r="AM480" s="9"/>
    </row>
    <row r="481" spans="1:39" ht="24.95" customHeight="1">
      <c r="A481" s="20" t="s">
        <v>518</v>
      </c>
      <c r="B481" s="8">
        <v>2094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8"/>
      <c r="N481" s="8"/>
      <c r="O481" s="8"/>
      <c r="P481" s="8"/>
      <c r="Q481" s="8"/>
      <c r="R481" s="8"/>
      <c r="S481" s="8"/>
      <c r="T481" s="8"/>
      <c r="U481" s="18"/>
      <c r="V481" s="18"/>
      <c r="W481" s="18"/>
      <c r="X481" s="18"/>
      <c r="Y481" s="18"/>
      <c r="Z481" s="8"/>
      <c r="AA481" s="18">
        <f>+Z482*2</f>
        <v>0</v>
      </c>
      <c r="AB481" s="18"/>
      <c r="AC481" s="8">
        <f>+AB481</f>
        <v>0</v>
      </c>
      <c r="AD481" s="18"/>
      <c r="AE481" s="18"/>
      <c r="AF481" s="8"/>
      <c r="AG481" s="18"/>
      <c r="AH481" s="8"/>
      <c r="AI481" s="8"/>
      <c r="AJ481" s="8">
        <v>2</v>
      </c>
      <c r="AK481" s="8">
        <f t="shared" si="24"/>
        <v>-2</v>
      </c>
      <c r="AL481" s="8">
        <f t="shared" si="25"/>
        <v>2092</v>
      </c>
      <c r="AM481" s="9"/>
    </row>
    <row r="482" spans="1:39" ht="24.95" customHeight="1">
      <c r="A482" s="7" t="s">
        <v>519</v>
      </c>
      <c r="B482" s="8">
        <v>53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8"/>
      <c r="N482" s="8"/>
      <c r="O482" s="8"/>
      <c r="P482" s="8"/>
      <c r="Q482" s="8"/>
      <c r="R482" s="8"/>
      <c r="S482" s="8"/>
      <c r="T482" s="8"/>
      <c r="U482" s="18"/>
      <c r="V482" s="18"/>
      <c r="W482" s="18"/>
      <c r="X482" s="18"/>
      <c r="Y482" s="18"/>
      <c r="Z482" s="8"/>
      <c r="AA482" s="18"/>
      <c r="AB482" s="18"/>
      <c r="AC482" s="8">
        <f>+AB482</f>
        <v>0</v>
      </c>
      <c r="AD482" s="18"/>
      <c r="AE482" s="18"/>
      <c r="AF482" s="8"/>
      <c r="AG482" s="18"/>
      <c r="AH482" s="8"/>
      <c r="AI482" s="8"/>
      <c r="AJ482" s="8"/>
      <c r="AK482" s="8">
        <f t="shared" si="24"/>
        <v>0</v>
      </c>
      <c r="AL482" s="8">
        <f t="shared" si="25"/>
        <v>53</v>
      </c>
      <c r="AM482" s="9"/>
    </row>
    <row r="483" spans="1:39" ht="24.95" customHeight="1">
      <c r="A483" s="20" t="s">
        <v>520</v>
      </c>
      <c r="B483" s="8">
        <v>1285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8"/>
      <c r="N483" s="8"/>
      <c r="O483" s="8"/>
      <c r="P483" s="8"/>
      <c r="Q483" s="8"/>
      <c r="R483" s="8"/>
      <c r="S483" s="8"/>
      <c r="T483" s="8"/>
      <c r="U483" s="18"/>
      <c r="V483" s="18"/>
      <c r="W483" s="18"/>
      <c r="X483" s="18"/>
      <c r="Y483" s="18"/>
      <c r="Z483" s="8"/>
      <c r="AA483" s="18">
        <f>+(Z485*2)+(Z486*3)</f>
        <v>0</v>
      </c>
      <c r="AB483" s="18"/>
      <c r="AC483" s="8">
        <f>+AB483</f>
        <v>0</v>
      </c>
      <c r="AD483" s="18"/>
      <c r="AE483" s="18">
        <f>+AD484</f>
        <v>0</v>
      </c>
      <c r="AF483" s="8"/>
      <c r="AG483" s="18"/>
      <c r="AH483" s="8"/>
      <c r="AI483" s="8"/>
      <c r="AJ483" s="8"/>
      <c r="AK483" s="8">
        <f t="shared" si="24"/>
        <v>0</v>
      </c>
      <c r="AL483" s="8">
        <f t="shared" si="25"/>
        <v>1285</v>
      </c>
      <c r="AM483" s="9"/>
    </row>
    <row r="484" spans="1:39" ht="24.95" customHeight="1">
      <c r="A484" s="20" t="s">
        <v>521</v>
      </c>
      <c r="B484" s="8">
        <v>0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8"/>
      <c r="N484" s="8"/>
      <c r="O484" s="8"/>
      <c r="P484" s="8"/>
      <c r="Q484" s="8"/>
      <c r="R484" s="8"/>
      <c r="S484" s="8"/>
      <c r="T484" s="8"/>
      <c r="U484" s="18"/>
      <c r="V484" s="18"/>
      <c r="W484" s="18"/>
      <c r="X484" s="18"/>
      <c r="Y484" s="18"/>
      <c r="Z484" s="8"/>
      <c r="AA484" s="18"/>
      <c r="AB484" s="18"/>
      <c r="AC484" s="8"/>
      <c r="AD484" s="18"/>
      <c r="AE484" s="18"/>
      <c r="AF484" s="8"/>
      <c r="AG484" s="18"/>
      <c r="AH484" s="8"/>
      <c r="AI484" s="8"/>
      <c r="AJ484" s="8"/>
      <c r="AK484" s="8">
        <f t="shared" si="24"/>
        <v>0</v>
      </c>
      <c r="AL484" s="8">
        <f t="shared" si="25"/>
        <v>0</v>
      </c>
      <c r="AM484" s="9"/>
    </row>
    <row r="485" spans="1:39" ht="24.95" customHeight="1">
      <c r="A485" s="20" t="s">
        <v>522</v>
      </c>
      <c r="B485" s="8">
        <v>0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8"/>
      <c r="N485" s="8"/>
      <c r="O485" s="8"/>
      <c r="P485" s="8"/>
      <c r="Q485" s="8"/>
      <c r="R485" s="8"/>
      <c r="S485" s="8"/>
      <c r="T485" s="8"/>
      <c r="U485" s="18"/>
      <c r="V485" s="18"/>
      <c r="W485" s="18"/>
      <c r="X485" s="18"/>
      <c r="Y485" s="18"/>
      <c r="Z485" s="8"/>
      <c r="AA485" s="18"/>
      <c r="AB485" s="18"/>
      <c r="AC485" s="8">
        <f>+AB485</f>
        <v>0</v>
      </c>
      <c r="AD485" s="18"/>
      <c r="AE485" s="18"/>
      <c r="AF485" s="8"/>
      <c r="AG485" s="18"/>
      <c r="AH485" s="8"/>
      <c r="AI485" s="8"/>
      <c r="AJ485" s="8"/>
      <c r="AK485" s="8">
        <f t="shared" si="24"/>
        <v>0</v>
      </c>
      <c r="AL485" s="8">
        <f t="shared" si="25"/>
        <v>0</v>
      </c>
      <c r="AM485" s="9"/>
    </row>
    <row r="486" spans="1:39" ht="24.95" customHeight="1">
      <c r="A486" s="20" t="s">
        <v>523</v>
      </c>
      <c r="B486" s="8">
        <v>153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8"/>
      <c r="N486" s="8"/>
      <c r="O486" s="8"/>
      <c r="P486" s="8"/>
      <c r="Q486" s="8"/>
      <c r="R486" s="8"/>
      <c r="S486" s="8"/>
      <c r="T486" s="8"/>
      <c r="U486" s="18"/>
      <c r="V486" s="18"/>
      <c r="W486" s="18"/>
      <c r="X486" s="18"/>
      <c r="Y486" s="18"/>
      <c r="Z486" s="8"/>
      <c r="AA486" s="18"/>
      <c r="AB486" s="18"/>
      <c r="AC486" s="8">
        <f>+AB486</f>
        <v>0</v>
      </c>
      <c r="AD486" s="18"/>
      <c r="AE486" s="18"/>
      <c r="AF486" s="8"/>
      <c r="AG486" s="18"/>
      <c r="AH486" s="8"/>
      <c r="AI486" s="8"/>
      <c r="AJ486" s="8"/>
      <c r="AK486" s="8">
        <f t="shared" si="24"/>
        <v>0</v>
      </c>
      <c r="AL486" s="8">
        <f t="shared" si="25"/>
        <v>153</v>
      </c>
      <c r="AM486" s="9"/>
    </row>
    <row r="487" spans="1:39" ht="24.95" customHeight="1">
      <c r="A487" s="20" t="s">
        <v>524</v>
      </c>
      <c r="B487" s="8">
        <v>0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8"/>
      <c r="N487" s="8"/>
      <c r="O487" s="8"/>
      <c r="P487" s="8"/>
      <c r="Q487" s="8"/>
      <c r="R487" s="8"/>
      <c r="S487" s="8"/>
      <c r="T487" s="8"/>
      <c r="U487" s="18"/>
      <c r="V487" s="18"/>
      <c r="W487" s="18"/>
      <c r="X487" s="18"/>
      <c r="Y487" s="18"/>
      <c r="Z487" s="8"/>
      <c r="AA487" s="18"/>
      <c r="AB487" s="18"/>
      <c r="AC487" s="8">
        <f>+AB487</f>
        <v>0</v>
      </c>
      <c r="AD487" s="18"/>
      <c r="AE487" s="18"/>
      <c r="AF487" s="8"/>
      <c r="AG487" s="18"/>
      <c r="AH487" s="8"/>
      <c r="AI487" s="8"/>
      <c r="AJ487" s="8"/>
      <c r="AK487" s="8">
        <f t="shared" si="24"/>
        <v>0</v>
      </c>
      <c r="AL487" s="8">
        <f t="shared" si="25"/>
        <v>0</v>
      </c>
      <c r="AM487" s="9"/>
    </row>
    <row r="488" spans="1:39" ht="24.95" customHeight="1">
      <c r="A488" s="21" t="s">
        <v>525</v>
      </c>
      <c r="B488" s="8">
        <v>0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8"/>
      <c r="N488" s="8"/>
      <c r="O488" s="8"/>
      <c r="P488" s="8"/>
      <c r="Q488" s="8"/>
      <c r="R488" s="8"/>
      <c r="S488" s="8"/>
      <c r="T488" s="8"/>
      <c r="U488" s="18"/>
      <c r="V488" s="18"/>
      <c r="W488" s="18"/>
      <c r="X488" s="18">
        <f>+Y492*2</f>
        <v>0</v>
      </c>
      <c r="Y488" s="18"/>
      <c r="Z488" s="8"/>
      <c r="AA488" s="18"/>
      <c r="AB488" s="18"/>
      <c r="AC488" s="8"/>
      <c r="AD488" s="18"/>
      <c r="AE488" s="18"/>
      <c r="AF488" s="8"/>
      <c r="AG488" s="18"/>
      <c r="AH488" s="8"/>
      <c r="AI488" s="8"/>
      <c r="AJ488" s="8"/>
      <c r="AK488" s="8">
        <f t="shared" si="24"/>
        <v>0</v>
      </c>
      <c r="AL488" s="8">
        <f t="shared" si="25"/>
        <v>0</v>
      </c>
      <c r="AM488" s="9"/>
    </row>
    <row r="489" spans="1:39" ht="24.95" customHeight="1">
      <c r="A489" s="21" t="s">
        <v>526</v>
      </c>
      <c r="B489" s="8">
        <v>1263</v>
      </c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8"/>
      <c r="N489" s="8"/>
      <c r="O489" s="8"/>
      <c r="P489" s="8"/>
      <c r="Q489" s="8"/>
      <c r="R489" s="8"/>
      <c r="S489" s="8"/>
      <c r="T489" s="8"/>
      <c r="U489" s="18"/>
      <c r="V489" s="18"/>
      <c r="W489" s="18"/>
      <c r="X489" s="18"/>
      <c r="Y489" s="18"/>
      <c r="Z489" s="8"/>
      <c r="AA489" s="18">
        <f>+Z494*3</f>
        <v>0</v>
      </c>
      <c r="AB489" s="18"/>
      <c r="AC489" s="8"/>
      <c r="AD489" s="18"/>
      <c r="AE489" s="18">
        <f>+AD491</f>
        <v>0</v>
      </c>
      <c r="AF489" s="8"/>
      <c r="AG489" s="18"/>
      <c r="AH489" s="8"/>
      <c r="AI489" s="8"/>
      <c r="AJ489" s="8">
        <v>81</v>
      </c>
      <c r="AK489" s="8">
        <f t="shared" si="24"/>
        <v>-81</v>
      </c>
      <c r="AL489" s="8">
        <f t="shared" si="25"/>
        <v>1182</v>
      </c>
      <c r="AM489" s="9"/>
    </row>
    <row r="490" spans="1:39" ht="24.95" customHeight="1">
      <c r="A490" s="21" t="s">
        <v>527</v>
      </c>
      <c r="B490" s="8">
        <v>500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8"/>
      <c r="N490" s="8"/>
      <c r="O490" s="8"/>
      <c r="P490" s="8"/>
      <c r="Q490" s="8"/>
      <c r="R490" s="8"/>
      <c r="S490" s="8"/>
      <c r="T490" s="8"/>
      <c r="U490" s="18"/>
      <c r="V490" s="18"/>
      <c r="W490" s="18"/>
      <c r="X490" s="18"/>
      <c r="Y490" s="18"/>
      <c r="Z490" s="8"/>
      <c r="AA490" s="18"/>
      <c r="AB490" s="18"/>
      <c r="AC490" s="8"/>
      <c r="AD490" s="18"/>
      <c r="AE490" s="18"/>
      <c r="AF490" s="8"/>
      <c r="AG490" s="18"/>
      <c r="AH490" s="8"/>
      <c r="AI490" s="8"/>
      <c r="AJ490" s="8"/>
      <c r="AK490" s="8">
        <f t="shared" si="24"/>
        <v>0</v>
      </c>
      <c r="AL490" s="8">
        <f t="shared" si="25"/>
        <v>500</v>
      </c>
      <c r="AM490" s="9"/>
    </row>
    <row r="491" spans="1:39" ht="24.95" customHeight="1">
      <c r="A491" s="20" t="s">
        <v>528</v>
      </c>
      <c r="B491" s="8">
        <v>0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8"/>
      <c r="N491" s="8"/>
      <c r="O491" s="8"/>
      <c r="P491" s="8"/>
      <c r="Q491" s="8"/>
      <c r="R491" s="8"/>
      <c r="S491" s="8"/>
      <c r="T491" s="8"/>
      <c r="U491" s="18"/>
      <c r="V491" s="18"/>
      <c r="W491" s="18"/>
      <c r="X491" s="18"/>
      <c r="Y491" s="18"/>
      <c r="Z491" s="8"/>
      <c r="AA491" s="18"/>
      <c r="AB491" s="18"/>
      <c r="AC491" s="8"/>
      <c r="AD491" s="18"/>
      <c r="AE491" s="18"/>
      <c r="AF491" s="8"/>
      <c r="AG491" s="18"/>
      <c r="AH491" s="8"/>
      <c r="AI491" s="8"/>
      <c r="AJ491" s="8"/>
      <c r="AK491" s="8">
        <f t="shared" si="24"/>
        <v>0</v>
      </c>
      <c r="AL491" s="8">
        <f t="shared" si="25"/>
        <v>0</v>
      </c>
      <c r="AM491" s="9"/>
    </row>
    <row r="492" spans="1:39" ht="24.95" customHeight="1">
      <c r="A492" s="20" t="s">
        <v>529</v>
      </c>
      <c r="B492" s="8">
        <v>0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8"/>
      <c r="N492" s="8"/>
      <c r="O492" s="8"/>
      <c r="P492" s="8"/>
      <c r="Q492" s="8"/>
      <c r="R492" s="8"/>
      <c r="S492" s="8"/>
      <c r="T492" s="8"/>
      <c r="U492" s="18"/>
      <c r="V492" s="18"/>
      <c r="W492" s="18"/>
      <c r="X492" s="18"/>
      <c r="Y492" s="18"/>
      <c r="Z492" s="8"/>
      <c r="AA492" s="18"/>
      <c r="AB492" s="18"/>
      <c r="AC492" s="8">
        <f>+AB492</f>
        <v>0</v>
      </c>
      <c r="AD492" s="18"/>
      <c r="AE492" s="18"/>
      <c r="AF492" s="8"/>
      <c r="AG492" s="18"/>
      <c r="AH492" s="8"/>
      <c r="AI492" s="8"/>
      <c r="AJ492" s="8"/>
      <c r="AK492" s="8">
        <f t="shared" si="24"/>
        <v>0</v>
      </c>
      <c r="AL492" s="8">
        <f t="shared" si="25"/>
        <v>0</v>
      </c>
      <c r="AM492" s="9"/>
    </row>
    <row r="493" spans="1:39" ht="24.95" customHeight="1">
      <c r="A493" s="20" t="s">
        <v>530</v>
      </c>
      <c r="B493" s="8">
        <v>0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8"/>
      <c r="N493" s="8"/>
      <c r="O493" s="8"/>
      <c r="P493" s="8"/>
      <c r="Q493" s="8"/>
      <c r="R493" s="8"/>
      <c r="S493" s="8"/>
      <c r="T493" s="8"/>
      <c r="U493" s="18"/>
      <c r="V493" s="18"/>
      <c r="W493" s="18"/>
      <c r="X493" s="18"/>
      <c r="Y493" s="18"/>
      <c r="Z493" s="8"/>
      <c r="AA493" s="18"/>
      <c r="AB493" s="18"/>
      <c r="AC493" s="8"/>
      <c r="AD493" s="18"/>
      <c r="AE493" s="18">
        <f>+AD494</f>
        <v>0</v>
      </c>
      <c r="AF493" s="8"/>
      <c r="AG493" s="18"/>
      <c r="AH493" s="8"/>
      <c r="AI493" s="8"/>
      <c r="AJ493" s="8"/>
      <c r="AK493" s="8">
        <f t="shared" si="24"/>
        <v>0</v>
      </c>
      <c r="AL493" s="8">
        <f t="shared" si="25"/>
        <v>0</v>
      </c>
      <c r="AM493" s="9"/>
    </row>
    <row r="494" spans="1:39" ht="24.95" customHeight="1">
      <c r="A494" s="20" t="s">
        <v>531</v>
      </c>
      <c r="B494" s="8">
        <v>0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8"/>
      <c r="N494" s="8"/>
      <c r="O494" s="8"/>
      <c r="P494" s="8"/>
      <c r="Q494" s="8"/>
      <c r="R494" s="8"/>
      <c r="S494" s="8"/>
      <c r="T494" s="8"/>
      <c r="U494" s="18"/>
      <c r="V494" s="18"/>
      <c r="W494" s="18"/>
      <c r="X494" s="18"/>
      <c r="Y494" s="18"/>
      <c r="Z494" s="8"/>
      <c r="AA494" s="18"/>
      <c r="AB494" s="18"/>
      <c r="AC494" s="8"/>
      <c r="AD494" s="18"/>
      <c r="AE494" s="18"/>
      <c r="AF494" s="8"/>
      <c r="AG494" s="18"/>
      <c r="AH494" s="8"/>
      <c r="AI494" s="8"/>
      <c r="AJ494" s="8"/>
      <c r="AK494" s="8">
        <f t="shared" si="24"/>
        <v>0</v>
      </c>
      <c r="AL494" s="8">
        <f t="shared" si="25"/>
        <v>0</v>
      </c>
      <c r="AM494" s="9"/>
    </row>
    <row r="495" spans="1:39" ht="24.95" customHeight="1">
      <c r="A495" s="20" t="s">
        <v>532</v>
      </c>
      <c r="B495" s="8">
        <v>0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8"/>
      <c r="N495" s="8"/>
      <c r="O495" s="8"/>
      <c r="P495" s="8"/>
      <c r="Q495" s="8"/>
      <c r="R495" s="8"/>
      <c r="S495" s="8"/>
      <c r="T495" s="8"/>
      <c r="U495" s="18"/>
      <c r="V495" s="18"/>
      <c r="W495" s="18"/>
      <c r="X495" s="18">
        <f>+Y496*2</f>
        <v>0</v>
      </c>
      <c r="Y495" s="18"/>
      <c r="Z495" s="8"/>
      <c r="AA495" s="18"/>
      <c r="AB495" s="18"/>
      <c r="AC495" s="8">
        <f>+AB495</f>
        <v>0</v>
      </c>
      <c r="AD495" s="18"/>
      <c r="AE495" s="18"/>
      <c r="AF495" s="8"/>
      <c r="AG495" s="18"/>
      <c r="AH495" s="8"/>
      <c r="AI495" s="8"/>
      <c r="AJ495" s="8"/>
      <c r="AK495" s="8">
        <f t="shared" si="24"/>
        <v>0</v>
      </c>
      <c r="AL495" s="8">
        <f t="shared" si="25"/>
        <v>0</v>
      </c>
      <c r="AM495" s="9"/>
    </row>
    <row r="496" spans="1:39" ht="24.95" customHeight="1">
      <c r="A496" s="20" t="s">
        <v>533</v>
      </c>
      <c r="B496" s="8">
        <v>2223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8"/>
      <c r="N496" s="8"/>
      <c r="O496" s="8"/>
      <c r="P496" s="8"/>
      <c r="Q496" s="8"/>
      <c r="R496" s="8"/>
      <c r="S496" s="8"/>
      <c r="T496" s="8"/>
      <c r="U496" s="18"/>
      <c r="V496" s="18"/>
      <c r="W496" s="18"/>
      <c r="X496" s="18"/>
      <c r="Y496" s="18"/>
      <c r="Z496" s="8"/>
      <c r="AA496" s="18">
        <f>+Z497*2+Z498*3</f>
        <v>0</v>
      </c>
      <c r="AB496" s="18"/>
      <c r="AC496" s="8"/>
      <c r="AD496" s="18"/>
      <c r="AE496" s="18"/>
      <c r="AF496" s="8"/>
      <c r="AG496" s="18"/>
      <c r="AH496" s="8"/>
      <c r="AI496" s="8"/>
      <c r="AJ496" s="8">
        <v>6</v>
      </c>
      <c r="AK496" s="8">
        <f t="shared" si="24"/>
        <v>-6</v>
      </c>
      <c r="AL496" s="8">
        <f t="shared" si="25"/>
        <v>2217</v>
      </c>
      <c r="AM496" s="9"/>
    </row>
    <row r="497" spans="1:39" ht="24.95" customHeight="1">
      <c r="A497" s="7" t="s">
        <v>534</v>
      </c>
      <c r="B497" s="8">
        <v>0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8"/>
      <c r="N497" s="8"/>
      <c r="O497" s="8"/>
      <c r="P497" s="8"/>
      <c r="Q497" s="8"/>
      <c r="R497" s="8"/>
      <c r="S497" s="8"/>
      <c r="T497" s="8"/>
      <c r="U497" s="18"/>
      <c r="V497" s="18"/>
      <c r="W497" s="18"/>
      <c r="X497" s="18"/>
      <c r="Y497" s="18"/>
      <c r="Z497" s="8"/>
      <c r="AA497" s="18"/>
      <c r="AB497" s="18"/>
      <c r="AC497" s="8">
        <f>+AB497</f>
        <v>0</v>
      </c>
      <c r="AD497" s="18"/>
      <c r="AE497" s="18"/>
      <c r="AF497" s="8"/>
      <c r="AG497" s="18"/>
      <c r="AH497" s="8"/>
      <c r="AI497" s="8"/>
      <c r="AJ497" s="8"/>
      <c r="AK497" s="8">
        <f t="shared" si="24"/>
        <v>0</v>
      </c>
      <c r="AL497" s="8">
        <f t="shared" si="25"/>
        <v>0</v>
      </c>
      <c r="AM497" s="9"/>
    </row>
    <row r="498" spans="1:39" ht="24.95" customHeight="1">
      <c r="A498" s="7" t="s">
        <v>535</v>
      </c>
      <c r="B498" s="8">
        <v>0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8"/>
      <c r="N498" s="8"/>
      <c r="O498" s="8"/>
      <c r="P498" s="8"/>
      <c r="Q498" s="8"/>
      <c r="R498" s="8"/>
      <c r="S498" s="8"/>
      <c r="T498" s="8"/>
      <c r="U498" s="18"/>
      <c r="V498" s="18"/>
      <c r="W498" s="18"/>
      <c r="X498" s="18"/>
      <c r="Y498" s="18"/>
      <c r="Z498" s="8"/>
      <c r="AA498" s="18"/>
      <c r="AB498" s="18"/>
      <c r="AC498" s="8"/>
      <c r="AD498" s="18"/>
      <c r="AE498" s="18"/>
      <c r="AF498" s="8"/>
      <c r="AG498" s="18"/>
      <c r="AH498" s="8"/>
      <c r="AI498" s="8"/>
      <c r="AJ498" s="8"/>
      <c r="AK498" s="8">
        <f t="shared" si="24"/>
        <v>0</v>
      </c>
      <c r="AL498" s="8">
        <f t="shared" si="25"/>
        <v>0</v>
      </c>
      <c r="AM498" s="9"/>
    </row>
    <row r="499" spans="1:39" ht="24.95" customHeight="1">
      <c r="A499" s="20" t="s">
        <v>536</v>
      </c>
      <c r="B499" s="8">
        <v>2033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8"/>
      <c r="N499" s="8"/>
      <c r="O499" s="8"/>
      <c r="P499" s="8"/>
      <c r="Q499" s="8"/>
      <c r="R499" s="8"/>
      <c r="S499" s="8"/>
      <c r="T499" s="8"/>
      <c r="U499" s="18"/>
      <c r="V499" s="18"/>
      <c r="W499" s="18"/>
      <c r="X499" s="18"/>
      <c r="Y499" s="18"/>
      <c r="Z499" s="8"/>
      <c r="AA499" s="18">
        <f>+Z500*2+Z501*3</f>
        <v>0</v>
      </c>
      <c r="AB499" s="18"/>
      <c r="AC499" s="8">
        <f>+AB499</f>
        <v>0</v>
      </c>
      <c r="AD499" s="18"/>
      <c r="AE499" s="18"/>
      <c r="AF499" s="8"/>
      <c r="AG499" s="18"/>
      <c r="AH499" s="8"/>
      <c r="AI499" s="8"/>
      <c r="AJ499" s="8">
        <v>5</v>
      </c>
      <c r="AK499" s="8">
        <f t="shared" si="24"/>
        <v>-5</v>
      </c>
      <c r="AL499" s="8">
        <f t="shared" si="25"/>
        <v>2028</v>
      </c>
      <c r="AM499" s="9"/>
    </row>
    <row r="500" spans="1:39" ht="24.95" customHeight="1">
      <c r="A500" s="10" t="s">
        <v>537</v>
      </c>
      <c r="B500" s="8">
        <v>0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8"/>
      <c r="N500" s="8"/>
      <c r="O500" s="8"/>
      <c r="P500" s="8"/>
      <c r="Q500" s="8"/>
      <c r="R500" s="8"/>
      <c r="S500" s="8"/>
      <c r="T500" s="8"/>
      <c r="U500" s="18"/>
      <c r="V500" s="18"/>
      <c r="W500" s="18"/>
      <c r="X500" s="18"/>
      <c r="Y500" s="18"/>
      <c r="Z500" s="8"/>
      <c r="AA500" s="18"/>
      <c r="AB500" s="18"/>
      <c r="AC500" s="8">
        <f>+AB500</f>
        <v>0</v>
      </c>
      <c r="AD500" s="18"/>
      <c r="AE500" s="18"/>
      <c r="AF500" s="8"/>
      <c r="AG500" s="18"/>
      <c r="AH500" s="8"/>
      <c r="AI500" s="8"/>
      <c r="AJ500" s="8"/>
      <c r="AK500" s="8">
        <f t="shared" si="24"/>
        <v>0</v>
      </c>
      <c r="AL500" s="8">
        <f t="shared" si="25"/>
        <v>0</v>
      </c>
      <c r="AM500" s="9"/>
    </row>
    <row r="501" spans="1:39" ht="24.95" customHeight="1">
      <c r="A501" s="10" t="s">
        <v>538</v>
      </c>
      <c r="B501" s="8">
        <v>0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8"/>
      <c r="N501" s="8"/>
      <c r="O501" s="8"/>
      <c r="P501" s="8"/>
      <c r="Q501" s="8"/>
      <c r="R501" s="8"/>
      <c r="S501" s="8"/>
      <c r="T501" s="8"/>
      <c r="U501" s="18"/>
      <c r="V501" s="18"/>
      <c r="W501" s="18"/>
      <c r="X501" s="18"/>
      <c r="Y501" s="18"/>
      <c r="Z501" s="8"/>
      <c r="AA501" s="18"/>
      <c r="AB501" s="18"/>
      <c r="AC501" s="8"/>
      <c r="AD501" s="18"/>
      <c r="AE501" s="18"/>
      <c r="AF501" s="8"/>
      <c r="AG501" s="18"/>
      <c r="AH501" s="8"/>
      <c r="AI501" s="8"/>
      <c r="AJ501" s="8"/>
      <c r="AK501" s="8">
        <f t="shared" si="24"/>
        <v>0</v>
      </c>
      <c r="AL501" s="8">
        <f t="shared" si="25"/>
        <v>0</v>
      </c>
      <c r="AM501" s="9"/>
    </row>
    <row r="502" spans="1:39" ht="24.95" customHeight="1">
      <c r="A502" s="20" t="s">
        <v>539</v>
      </c>
      <c r="B502" s="8">
        <v>14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8"/>
      <c r="N502" s="8"/>
      <c r="O502" s="8"/>
      <c r="P502" s="8"/>
      <c r="Q502" s="8"/>
      <c r="R502" s="8"/>
      <c r="S502" s="8"/>
      <c r="T502" s="8"/>
      <c r="U502" s="18"/>
      <c r="V502" s="18"/>
      <c r="W502" s="18"/>
      <c r="X502" s="18"/>
      <c r="Y502" s="18"/>
      <c r="Z502" s="8"/>
      <c r="AA502" s="18"/>
      <c r="AB502" s="18"/>
      <c r="AC502" s="8">
        <f t="shared" ref="AC502:AC507" si="27">+AB502</f>
        <v>0</v>
      </c>
      <c r="AD502" s="18"/>
      <c r="AE502" s="18"/>
      <c r="AF502" s="8"/>
      <c r="AG502" s="18"/>
      <c r="AH502" s="8"/>
      <c r="AI502" s="8"/>
      <c r="AJ502" s="8"/>
      <c r="AK502" s="8">
        <f t="shared" si="24"/>
        <v>0</v>
      </c>
      <c r="AL502" s="8">
        <f t="shared" si="25"/>
        <v>14</v>
      </c>
      <c r="AM502" s="9"/>
    </row>
    <row r="503" spans="1:39" ht="24.95" customHeight="1">
      <c r="A503" s="20" t="s">
        <v>540</v>
      </c>
      <c r="B503" s="8">
        <v>0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8"/>
      <c r="N503" s="8"/>
      <c r="O503" s="8"/>
      <c r="P503" s="8"/>
      <c r="Q503" s="8"/>
      <c r="R503" s="8"/>
      <c r="S503" s="8"/>
      <c r="T503" s="8"/>
      <c r="U503" s="18"/>
      <c r="V503" s="18"/>
      <c r="W503" s="18"/>
      <c r="X503" s="18"/>
      <c r="Y503" s="18"/>
      <c r="Z503" s="8"/>
      <c r="AA503" s="18"/>
      <c r="AB503" s="18"/>
      <c r="AC503" s="8">
        <f t="shared" si="27"/>
        <v>0</v>
      </c>
      <c r="AD503" s="18"/>
      <c r="AE503" s="18"/>
      <c r="AF503" s="8"/>
      <c r="AG503" s="18"/>
      <c r="AH503" s="8"/>
      <c r="AI503" s="8"/>
      <c r="AJ503" s="8"/>
      <c r="AK503" s="8">
        <f t="shared" si="24"/>
        <v>0</v>
      </c>
      <c r="AL503" s="8">
        <f t="shared" si="25"/>
        <v>0</v>
      </c>
      <c r="AM503" s="9"/>
    </row>
    <row r="504" spans="1:39" ht="24.95" customHeight="1">
      <c r="A504" s="20" t="s">
        <v>541</v>
      </c>
      <c r="B504" s="8">
        <v>310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8"/>
      <c r="N504" s="8"/>
      <c r="O504" s="8"/>
      <c r="P504" s="8"/>
      <c r="Q504" s="8"/>
      <c r="R504" s="8"/>
      <c r="S504" s="8"/>
      <c r="T504" s="8"/>
      <c r="U504" s="18"/>
      <c r="V504" s="18"/>
      <c r="W504" s="18"/>
      <c r="X504" s="18"/>
      <c r="Y504" s="18"/>
      <c r="Z504" s="8"/>
      <c r="AA504" s="18">
        <f>+(Z505*2)+(Z506*3)</f>
        <v>0</v>
      </c>
      <c r="AB504" s="18"/>
      <c r="AC504" s="8">
        <f t="shared" si="27"/>
        <v>0</v>
      </c>
      <c r="AD504" s="18"/>
      <c r="AE504" s="18"/>
      <c r="AF504" s="8"/>
      <c r="AG504" s="18"/>
      <c r="AH504" s="8"/>
      <c r="AI504" s="8"/>
      <c r="AJ504" s="8">
        <v>87</v>
      </c>
      <c r="AK504" s="8">
        <f t="shared" si="24"/>
        <v>-87</v>
      </c>
      <c r="AL504" s="8">
        <f t="shared" si="25"/>
        <v>223</v>
      </c>
      <c r="AM504" s="9"/>
    </row>
    <row r="505" spans="1:39" ht="24.95" customHeight="1">
      <c r="A505" s="20" t="s">
        <v>542</v>
      </c>
      <c r="B505" s="8">
        <v>4820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8"/>
      <c r="N505" s="8"/>
      <c r="O505" s="8"/>
      <c r="P505" s="8"/>
      <c r="Q505" s="8"/>
      <c r="R505" s="8"/>
      <c r="S505" s="8"/>
      <c r="T505" s="8"/>
      <c r="U505" s="18"/>
      <c r="V505" s="18"/>
      <c r="W505" s="18"/>
      <c r="X505" s="18"/>
      <c r="Y505" s="18"/>
      <c r="Z505" s="8"/>
      <c r="AA505" s="18">
        <f>Z504/2</f>
        <v>0</v>
      </c>
      <c r="AB505" s="18"/>
      <c r="AC505" s="8">
        <f t="shared" si="27"/>
        <v>0</v>
      </c>
      <c r="AD505" s="18"/>
      <c r="AE505" s="18"/>
      <c r="AF505" s="8"/>
      <c r="AG505" s="18"/>
      <c r="AH505" s="8"/>
      <c r="AI505" s="8"/>
      <c r="AJ505" s="8"/>
      <c r="AK505" s="8">
        <f t="shared" si="24"/>
        <v>0</v>
      </c>
      <c r="AL505" s="8">
        <f t="shared" si="25"/>
        <v>4820</v>
      </c>
      <c r="AM505" s="9"/>
    </row>
    <row r="506" spans="1:39" ht="24.95" customHeight="1">
      <c r="A506" s="20" t="s">
        <v>543</v>
      </c>
      <c r="B506" s="8">
        <v>2251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8"/>
      <c r="N506" s="8"/>
      <c r="O506" s="8"/>
      <c r="P506" s="8"/>
      <c r="Q506" s="8"/>
      <c r="R506" s="8"/>
      <c r="S506" s="8"/>
      <c r="T506" s="8"/>
      <c r="U506" s="18"/>
      <c r="V506" s="18"/>
      <c r="W506" s="18"/>
      <c r="X506" s="18"/>
      <c r="Y506" s="18"/>
      <c r="Z506" s="8"/>
      <c r="AA506" s="18"/>
      <c r="AB506" s="18"/>
      <c r="AC506" s="8">
        <f t="shared" si="27"/>
        <v>0</v>
      </c>
      <c r="AD506" s="18"/>
      <c r="AE506" s="18"/>
      <c r="AF506" s="8"/>
      <c r="AG506" s="18"/>
      <c r="AH506" s="8"/>
      <c r="AI506" s="8"/>
      <c r="AJ506" s="8"/>
      <c r="AK506" s="8">
        <f t="shared" si="24"/>
        <v>0</v>
      </c>
      <c r="AL506" s="8">
        <f t="shared" si="25"/>
        <v>2251</v>
      </c>
      <c r="AM506" s="9"/>
    </row>
    <row r="507" spans="1:39" ht="24.95" customHeight="1">
      <c r="A507" s="22" t="s">
        <v>544</v>
      </c>
      <c r="B507" s="8">
        <v>0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8"/>
      <c r="N507" s="8"/>
      <c r="O507" s="8"/>
      <c r="P507" s="8"/>
      <c r="Q507" s="8"/>
      <c r="R507" s="8">
        <v>15</v>
      </c>
      <c r="S507" s="8"/>
      <c r="T507" s="8"/>
      <c r="U507" s="18"/>
      <c r="V507" s="18"/>
      <c r="W507" s="18"/>
      <c r="X507" s="18"/>
      <c r="Y507" s="18"/>
      <c r="Z507" s="8">
        <v>15</v>
      </c>
      <c r="AA507" s="18"/>
      <c r="AB507" s="18"/>
      <c r="AC507" s="8">
        <f t="shared" si="27"/>
        <v>0</v>
      </c>
      <c r="AD507" s="18"/>
      <c r="AE507" s="18"/>
      <c r="AF507" s="8"/>
      <c r="AG507" s="18"/>
      <c r="AH507" s="8"/>
      <c r="AI507" s="8"/>
      <c r="AJ507" s="8"/>
      <c r="AK507" s="8">
        <f t="shared" si="24"/>
        <v>0</v>
      </c>
      <c r="AL507" s="8">
        <f t="shared" si="25"/>
        <v>0</v>
      </c>
      <c r="AM507" s="9"/>
    </row>
    <row r="508" spans="1:39" ht="24.95" customHeight="1">
      <c r="A508" s="22" t="s">
        <v>545</v>
      </c>
      <c r="B508" s="8">
        <v>0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8"/>
      <c r="N508" s="8"/>
      <c r="O508" s="8"/>
      <c r="P508" s="8"/>
      <c r="Q508" s="8"/>
      <c r="R508" s="8"/>
      <c r="S508" s="8"/>
      <c r="T508" s="8"/>
      <c r="U508" s="18"/>
      <c r="V508" s="18"/>
      <c r="W508" s="18"/>
      <c r="X508" s="18"/>
      <c r="Y508" s="18"/>
      <c r="Z508" s="8"/>
      <c r="AA508" s="18"/>
      <c r="AB508" s="18"/>
      <c r="AC508" s="8"/>
      <c r="AD508" s="18"/>
      <c r="AE508" s="18"/>
      <c r="AF508" s="8"/>
      <c r="AG508" s="18"/>
      <c r="AH508" s="8"/>
      <c r="AI508" s="8"/>
      <c r="AJ508" s="8"/>
      <c r="AK508" s="8">
        <f t="shared" si="24"/>
        <v>0</v>
      </c>
      <c r="AL508" s="8">
        <f t="shared" si="25"/>
        <v>0</v>
      </c>
      <c r="AM508" s="9"/>
    </row>
    <row r="509" spans="1:39" ht="24.95" customHeight="1">
      <c r="A509" s="22" t="s">
        <v>546</v>
      </c>
      <c r="B509" s="8">
        <v>0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8"/>
      <c r="N509" s="8"/>
      <c r="O509" s="8"/>
      <c r="P509" s="8"/>
      <c r="Q509" s="8"/>
      <c r="R509" s="8"/>
      <c r="S509" s="8"/>
      <c r="T509" s="8"/>
      <c r="U509" s="18"/>
      <c r="V509" s="18"/>
      <c r="W509" s="18"/>
      <c r="X509" s="18"/>
      <c r="Y509" s="18"/>
      <c r="Z509" s="8"/>
      <c r="AA509" s="18"/>
      <c r="AB509" s="18"/>
      <c r="AC509" s="8"/>
      <c r="AD509" s="18"/>
      <c r="AE509" s="18"/>
      <c r="AF509" s="8"/>
      <c r="AG509" s="18"/>
      <c r="AH509" s="8"/>
      <c r="AI509" s="8"/>
      <c r="AJ509" s="8"/>
      <c r="AK509" s="8">
        <f t="shared" si="24"/>
        <v>0</v>
      </c>
      <c r="AL509" s="8">
        <f t="shared" si="25"/>
        <v>0</v>
      </c>
      <c r="AM509" s="9"/>
    </row>
    <row r="510" spans="1:39" ht="24.95" customHeight="1">
      <c r="A510" s="20" t="s">
        <v>547</v>
      </c>
      <c r="B510" s="8">
        <v>0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8"/>
      <c r="N510" s="8"/>
      <c r="O510" s="8"/>
      <c r="P510" s="8"/>
      <c r="Q510" s="8"/>
      <c r="R510" s="8"/>
      <c r="S510" s="8"/>
      <c r="T510" s="8"/>
      <c r="U510" s="18"/>
      <c r="V510" s="18"/>
      <c r="W510" s="18"/>
      <c r="X510" s="18"/>
      <c r="Y510" s="18"/>
      <c r="Z510" s="8"/>
      <c r="AA510" s="18"/>
      <c r="AB510" s="18"/>
      <c r="AC510" s="8">
        <f>+AB510</f>
        <v>0</v>
      </c>
      <c r="AD510" s="18"/>
      <c r="AE510" s="18"/>
      <c r="AF510" s="8"/>
      <c r="AG510" s="18"/>
      <c r="AH510" s="8"/>
      <c r="AI510" s="8"/>
      <c r="AJ510" s="8"/>
      <c r="AK510" s="8">
        <f t="shared" si="24"/>
        <v>0</v>
      </c>
      <c r="AL510" s="8">
        <f t="shared" si="25"/>
        <v>0</v>
      </c>
      <c r="AM510" s="9"/>
    </row>
    <row r="511" spans="1:39" ht="24.95" customHeight="1">
      <c r="A511" s="20" t="s">
        <v>548</v>
      </c>
      <c r="B511" s="8">
        <v>3951</v>
      </c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8"/>
      <c r="N511" s="8"/>
      <c r="O511" s="8"/>
      <c r="P511" s="8"/>
      <c r="Q511" s="8"/>
      <c r="R511" s="8"/>
      <c r="S511" s="8"/>
      <c r="T511" s="8"/>
      <c r="U511" s="18"/>
      <c r="V511" s="18"/>
      <c r="W511" s="18"/>
      <c r="X511" s="18"/>
      <c r="Y511" s="18"/>
      <c r="Z511" s="8"/>
      <c r="AA511" s="18">
        <f>+Z507*2+Z508*3+Z509*4</f>
        <v>30</v>
      </c>
      <c r="AB511" s="18"/>
      <c r="AC511" s="8">
        <f>+AB511</f>
        <v>0</v>
      </c>
      <c r="AD511" s="18"/>
      <c r="AE511" s="18"/>
      <c r="AF511" s="8"/>
      <c r="AG511" s="18"/>
      <c r="AH511" s="8"/>
      <c r="AI511" s="8"/>
      <c r="AJ511" s="8">
        <v>2</v>
      </c>
      <c r="AK511" s="8">
        <f t="shared" si="24"/>
        <v>-32</v>
      </c>
      <c r="AL511" s="8">
        <f t="shared" si="25"/>
        <v>3919</v>
      </c>
      <c r="AM511" s="9"/>
    </row>
    <row r="512" spans="1:39" ht="24.95" customHeight="1">
      <c r="A512" s="20" t="s">
        <v>549</v>
      </c>
      <c r="B512" s="8">
        <v>0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8"/>
      <c r="N512" s="8"/>
      <c r="O512" s="8"/>
      <c r="P512" s="8"/>
      <c r="Q512" s="8"/>
      <c r="R512" s="8"/>
      <c r="S512" s="8"/>
      <c r="T512" s="8"/>
      <c r="U512" s="18"/>
      <c r="V512" s="18"/>
      <c r="W512" s="18"/>
      <c r="X512" s="18"/>
      <c r="Y512" s="18"/>
      <c r="Z512" s="8"/>
      <c r="AA512" s="18"/>
      <c r="AB512" s="18"/>
      <c r="AC512" s="8">
        <f>+AB512</f>
        <v>0</v>
      </c>
      <c r="AD512" s="18"/>
      <c r="AE512" s="18"/>
      <c r="AF512" s="8"/>
      <c r="AG512" s="18"/>
      <c r="AH512" s="8"/>
      <c r="AI512" s="8"/>
      <c r="AJ512" s="8"/>
      <c r="AK512" s="8">
        <f t="shared" si="24"/>
        <v>0</v>
      </c>
      <c r="AL512" s="8">
        <f t="shared" si="25"/>
        <v>0</v>
      </c>
      <c r="AM512" s="9"/>
    </row>
    <row r="513" spans="1:39" ht="24.95" customHeight="1">
      <c r="A513" s="10" t="s">
        <v>550</v>
      </c>
      <c r="B513" s="8">
        <v>0</v>
      </c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8"/>
      <c r="N513" s="8"/>
      <c r="O513" s="8"/>
      <c r="P513" s="8"/>
      <c r="Q513" s="8"/>
      <c r="R513" s="8"/>
      <c r="S513" s="8"/>
      <c r="T513" s="8"/>
      <c r="U513" s="18"/>
      <c r="V513" s="18"/>
      <c r="W513" s="18"/>
      <c r="X513" s="18"/>
      <c r="Y513" s="18"/>
      <c r="Z513" s="8"/>
      <c r="AA513" s="18"/>
      <c r="AB513" s="18"/>
      <c r="AC513" s="8">
        <f>+AB513</f>
        <v>0</v>
      </c>
      <c r="AD513" s="18"/>
      <c r="AE513" s="18"/>
      <c r="AF513" s="8"/>
      <c r="AG513" s="18"/>
      <c r="AH513" s="8"/>
      <c r="AI513" s="8"/>
      <c r="AJ513" s="8"/>
      <c r="AK513" s="8">
        <f t="shared" si="24"/>
        <v>0</v>
      </c>
      <c r="AL513" s="8">
        <f t="shared" si="25"/>
        <v>0</v>
      </c>
      <c r="AM513" s="9"/>
    </row>
    <row r="514" spans="1:39" ht="24.95" customHeight="1">
      <c r="A514" s="10" t="s">
        <v>551</v>
      </c>
      <c r="B514" s="8">
        <v>0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8"/>
      <c r="N514" s="8"/>
      <c r="O514" s="8"/>
      <c r="P514" s="8"/>
      <c r="Q514" s="8"/>
      <c r="R514" s="8"/>
      <c r="S514" s="8"/>
      <c r="T514" s="8"/>
      <c r="U514" s="18"/>
      <c r="V514" s="18"/>
      <c r="W514" s="18"/>
      <c r="X514" s="18"/>
      <c r="Y514" s="18"/>
      <c r="Z514" s="8"/>
      <c r="AA514" s="18"/>
      <c r="AB514" s="18"/>
      <c r="AC514" s="8"/>
      <c r="AD514" s="18"/>
      <c r="AE514" s="18"/>
      <c r="AF514" s="8"/>
      <c r="AG514" s="18"/>
      <c r="AH514" s="8"/>
      <c r="AI514" s="8"/>
      <c r="AJ514" s="8"/>
      <c r="AK514" s="8">
        <f t="shared" si="24"/>
        <v>0</v>
      </c>
      <c r="AL514" s="8">
        <f t="shared" si="25"/>
        <v>0</v>
      </c>
      <c r="AM514" s="9"/>
    </row>
    <row r="515" spans="1:39" ht="24.95" customHeight="1">
      <c r="A515" s="10" t="s">
        <v>552</v>
      </c>
      <c r="B515" s="8">
        <v>0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8"/>
      <c r="N515" s="8"/>
      <c r="O515" s="8"/>
      <c r="P515" s="8"/>
      <c r="Q515" s="8"/>
      <c r="R515" s="8"/>
      <c r="S515" s="8"/>
      <c r="T515" s="8"/>
      <c r="U515" s="18"/>
      <c r="V515" s="18"/>
      <c r="W515" s="18"/>
      <c r="X515" s="18"/>
      <c r="Y515" s="18"/>
      <c r="Z515" s="8"/>
      <c r="AA515" s="18"/>
      <c r="AB515" s="18"/>
      <c r="AC515" s="8"/>
      <c r="AD515" s="18"/>
      <c r="AE515" s="18"/>
      <c r="AF515" s="8"/>
      <c r="AG515" s="18"/>
      <c r="AH515" s="8"/>
      <c r="AI515" s="8"/>
      <c r="AJ515" s="8"/>
      <c r="AK515" s="8">
        <f t="shared" si="24"/>
        <v>0</v>
      </c>
      <c r="AL515" s="8">
        <f t="shared" si="25"/>
        <v>0</v>
      </c>
      <c r="AM515" s="9"/>
    </row>
    <row r="516" spans="1:39" ht="24.95" customHeight="1">
      <c r="A516" s="10" t="s">
        <v>553</v>
      </c>
      <c r="B516" s="8">
        <v>1263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8"/>
      <c r="N516" s="8"/>
      <c r="O516" s="8"/>
      <c r="P516" s="8"/>
      <c r="Q516" s="8"/>
      <c r="R516" s="8"/>
      <c r="S516" s="8"/>
      <c r="T516" s="8"/>
      <c r="U516" s="18"/>
      <c r="V516" s="18"/>
      <c r="W516" s="18"/>
      <c r="X516" s="18"/>
      <c r="Y516" s="18"/>
      <c r="Z516" s="8"/>
      <c r="AA516" s="18">
        <f>+Z513*2+Z514*3+Z515*4</f>
        <v>0</v>
      </c>
      <c r="AB516" s="18"/>
      <c r="AC516" s="8"/>
      <c r="AD516" s="18"/>
      <c r="AE516" s="18"/>
      <c r="AF516" s="8"/>
      <c r="AG516" s="18"/>
      <c r="AH516" s="8"/>
      <c r="AI516" s="8"/>
      <c r="AJ516" s="8">
        <v>2</v>
      </c>
      <c r="AK516" s="8">
        <f t="shared" si="24"/>
        <v>-2</v>
      </c>
      <c r="AL516" s="8">
        <f t="shared" si="25"/>
        <v>1261</v>
      </c>
      <c r="AM516" s="9"/>
    </row>
    <row r="517" spans="1:39" ht="24.95" customHeight="1">
      <c r="A517" s="20" t="s">
        <v>554</v>
      </c>
      <c r="B517" s="8">
        <v>24</v>
      </c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8"/>
      <c r="N517" s="8"/>
      <c r="O517" s="8"/>
      <c r="P517" s="8"/>
      <c r="Q517" s="8"/>
      <c r="R517" s="8"/>
      <c r="S517" s="8"/>
      <c r="T517" s="8"/>
      <c r="U517" s="18"/>
      <c r="V517" s="18"/>
      <c r="W517" s="18"/>
      <c r="X517" s="18"/>
      <c r="Y517" s="18"/>
      <c r="Z517" s="8"/>
      <c r="AA517" s="18"/>
      <c r="AB517" s="18"/>
      <c r="AC517" s="8">
        <f>+AB517</f>
        <v>0</v>
      </c>
      <c r="AD517" s="18"/>
      <c r="AE517" s="18"/>
      <c r="AF517" s="8"/>
      <c r="AG517" s="18"/>
      <c r="AH517" s="8"/>
      <c r="AI517" s="8"/>
      <c r="AJ517" s="8"/>
      <c r="AK517" s="8">
        <f t="shared" si="24"/>
        <v>0</v>
      </c>
      <c r="AL517" s="8">
        <f t="shared" si="25"/>
        <v>24</v>
      </c>
      <c r="AM517" s="9"/>
    </row>
    <row r="518" spans="1:39" ht="24.95" customHeight="1">
      <c r="A518" s="20" t="s">
        <v>555</v>
      </c>
      <c r="B518" s="8">
        <v>51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8"/>
      <c r="N518" s="8"/>
      <c r="O518" s="8"/>
      <c r="P518" s="8"/>
      <c r="Q518" s="8"/>
      <c r="R518" s="8"/>
      <c r="S518" s="8"/>
      <c r="T518" s="8"/>
      <c r="U518" s="18"/>
      <c r="V518" s="18"/>
      <c r="W518" s="18"/>
      <c r="X518" s="18"/>
      <c r="Y518" s="18"/>
      <c r="Z518" s="8"/>
      <c r="AA518" s="18"/>
      <c r="AB518" s="18"/>
      <c r="AC518" s="8">
        <f>+AB518</f>
        <v>0</v>
      </c>
      <c r="AD518" s="18"/>
      <c r="AE518" s="18"/>
      <c r="AF518" s="8"/>
      <c r="AG518" s="18"/>
      <c r="AH518" s="8"/>
      <c r="AI518" s="8"/>
      <c r="AJ518" s="8"/>
      <c r="AK518" s="8">
        <f t="shared" si="24"/>
        <v>0</v>
      </c>
      <c r="AL518" s="8">
        <f t="shared" si="25"/>
        <v>51</v>
      </c>
      <c r="AM518" s="9"/>
    </row>
    <row r="519" spans="1:39" ht="24.95" customHeight="1">
      <c r="A519" s="20" t="s">
        <v>556</v>
      </c>
      <c r="B519" s="8">
        <v>0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8"/>
      <c r="N519" s="8"/>
      <c r="O519" s="8"/>
      <c r="P519" s="8"/>
      <c r="Q519" s="8"/>
      <c r="R519" s="8"/>
      <c r="S519" s="8"/>
      <c r="T519" s="8"/>
      <c r="U519" s="18"/>
      <c r="V519" s="18"/>
      <c r="W519" s="18"/>
      <c r="X519" s="18"/>
      <c r="Y519" s="18"/>
      <c r="Z519" s="8"/>
      <c r="AA519" s="18"/>
      <c r="AB519" s="18"/>
      <c r="AC519" s="8">
        <f>+AB519</f>
        <v>0</v>
      </c>
      <c r="AD519" s="18"/>
      <c r="AE519" s="18"/>
      <c r="AF519" s="8"/>
      <c r="AG519" s="18"/>
      <c r="AH519" s="8"/>
      <c r="AI519" s="8"/>
      <c r="AJ519" s="8"/>
      <c r="AK519" s="8">
        <f t="shared" si="24"/>
        <v>0</v>
      </c>
      <c r="AL519" s="8">
        <f t="shared" si="25"/>
        <v>0</v>
      </c>
      <c r="AM519" s="9"/>
    </row>
    <row r="520" spans="1:39" ht="24.95" customHeight="1">
      <c r="A520" s="20" t="s">
        <v>557</v>
      </c>
      <c r="B520" s="8">
        <v>4090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>
        <v>11</v>
      </c>
      <c r="S520" s="8"/>
      <c r="T520" s="8"/>
      <c r="U520" s="8"/>
      <c r="V520" s="8"/>
      <c r="W520" s="8"/>
      <c r="X520" s="8"/>
      <c r="Y520" s="8"/>
      <c r="Z520" s="8"/>
      <c r="AA520" s="8">
        <f>+(Z521*2)+(Z522*3)+Z523*4</f>
        <v>0</v>
      </c>
      <c r="AB520" s="8"/>
      <c r="AC520" s="8"/>
      <c r="AD520" s="8"/>
      <c r="AE520" s="8"/>
      <c r="AF520" s="8"/>
      <c r="AG520" s="8"/>
      <c r="AH520" s="8"/>
      <c r="AI520" s="8"/>
      <c r="AJ520" s="8">
        <v>2</v>
      </c>
      <c r="AK520" s="8">
        <f t="shared" si="24"/>
        <v>-13</v>
      </c>
      <c r="AL520" s="8">
        <f t="shared" si="25"/>
        <v>4077</v>
      </c>
      <c r="AM520" s="9"/>
    </row>
    <row r="521" spans="1:39" ht="24.95" customHeight="1">
      <c r="A521" s="20" t="s">
        <v>558</v>
      </c>
      <c r="B521" s="8">
        <v>2413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8"/>
      <c r="N521" s="8"/>
      <c r="O521" s="8"/>
      <c r="P521" s="8"/>
      <c r="Q521" s="8"/>
      <c r="R521" s="8"/>
      <c r="S521" s="8"/>
      <c r="T521" s="8"/>
      <c r="U521" s="18"/>
      <c r="V521" s="18"/>
      <c r="W521" s="18"/>
      <c r="X521" s="18"/>
      <c r="Y521" s="18"/>
      <c r="Z521" s="8"/>
      <c r="AA521" s="18"/>
      <c r="AB521" s="18"/>
      <c r="AC521" s="8">
        <f t="shared" ref="AC521:AC538" si="28">+AB521</f>
        <v>0</v>
      </c>
      <c r="AD521" s="18"/>
      <c r="AE521" s="18"/>
      <c r="AF521" s="8"/>
      <c r="AG521" s="18"/>
      <c r="AH521" s="8"/>
      <c r="AI521" s="8"/>
      <c r="AJ521" s="8"/>
      <c r="AK521" s="8">
        <f t="shared" ref="AK521:AK588" si="29">SUM((D521+P521+G521+L521+S521+X521+Z521+AD521+M521+J521+V521+AB521+F521+AG521+O521+AI521)+(-N521-E521-R521-Q521-T521-Y521-AA521-AE521-AJ521-K521-I521-H521-U521-AC521-AF521-AH521-W521))</f>
        <v>0</v>
      </c>
      <c r="AL521" s="8">
        <f t="shared" ref="AL521:AL588" si="30">B521+AK521</f>
        <v>2413</v>
      </c>
      <c r="AM521" s="9"/>
    </row>
    <row r="522" spans="1:39" ht="24.95" customHeight="1">
      <c r="A522" s="20" t="s">
        <v>559</v>
      </c>
      <c r="B522" s="8">
        <v>2074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8"/>
      <c r="N522" s="8"/>
      <c r="O522" s="8"/>
      <c r="P522" s="8"/>
      <c r="Q522" s="8"/>
      <c r="R522" s="8"/>
      <c r="S522" s="8"/>
      <c r="T522" s="8"/>
      <c r="U522" s="18"/>
      <c r="V522" s="18"/>
      <c r="W522" s="18"/>
      <c r="X522" s="18"/>
      <c r="Y522" s="18"/>
      <c r="Z522" s="8"/>
      <c r="AA522" s="18"/>
      <c r="AB522" s="18"/>
      <c r="AC522" s="8">
        <f t="shared" si="28"/>
        <v>0</v>
      </c>
      <c r="AD522" s="18"/>
      <c r="AE522" s="18"/>
      <c r="AF522" s="8"/>
      <c r="AG522" s="18"/>
      <c r="AH522" s="8"/>
      <c r="AI522" s="8"/>
      <c r="AJ522" s="8"/>
      <c r="AK522" s="8">
        <f t="shared" si="29"/>
        <v>0</v>
      </c>
      <c r="AL522" s="8">
        <f t="shared" si="30"/>
        <v>2074</v>
      </c>
      <c r="AM522" s="9"/>
    </row>
    <row r="523" spans="1:39" ht="24.95" customHeight="1">
      <c r="A523" s="20" t="s">
        <v>560</v>
      </c>
      <c r="B523" s="8">
        <v>0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8"/>
      <c r="N523" s="8"/>
      <c r="O523" s="8"/>
      <c r="P523" s="8"/>
      <c r="Q523" s="8"/>
      <c r="R523" s="8"/>
      <c r="S523" s="8"/>
      <c r="T523" s="8"/>
      <c r="U523" s="18"/>
      <c r="V523" s="18"/>
      <c r="W523" s="18"/>
      <c r="X523" s="18"/>
      <c r="Y523" s="18"/>
      <c r="Z523" s="8"/>
      <c r="AA523" s="18"/>
      <c r="AB523" s="18"/>
      <c r="AC523" s="8">
        <f t="shared" si="28"/>
        <v>0</v>
      </c>
      <c r="AD523" s="18"/>
      <c r="AE523" s="18"/>
      <c r="AF523" s="8"/>
      <c r="AG523" s="18"/>
      <c r="AH523" s="8"/>
      <c r="AI523" s="8"/>
      <c r="AJ523" s="8"/>
      <c r="AK523" s="8">
        <f t="shared" si="29"/>
        <v>0</v>
      </c>
      <c r="AL523" s="8">
        <f t="shared" si="30"/>
        <v>0</v>
      </c>
      <c r="AM523" s="9"/>
    </row>
    <row r="524" spans="1:39" ht="24.95" customHeight="1">
      <c r="A524" s="20" t="s">
        <v>561</v>
      </c>
      <c r="B524" s="8">
        <v>0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8"/>
      <c r="N524" s="8"/>
      <c r="O524" s="8"/>
      <c r="P524" s="8"/>
      <c r="Q524" s="8"/>
      <c r="R524" s="8"/>
      <c r="S524" s="8"/>
      <c r="T524" s="8"/>
      <c r="U524" s="18"/>
      <c r="V524" s="18"/>
      <c r="W524" s="18"/>
      <c r="X524" s="18"/>
      <c r="Y524" s="18"/>
      <c r="Z524" s="8"/>
      <c r="AA524" s="18"/>
      <c r="AB524" s="18"/>
      <c r="AC524" s="8">
        <f t="shared" si="28"/>
        <v>0</v>
      </c>
      <c r="AD524" s="18"/>
      <c r="AE524" s="18"/>
      <c r="AF524" s="8"/>
      <c r="AG524" s="18"/>
      <c r="AH524" s="8"/>
      <c r="AI524" s="8"/>
      <c r="AJ524" s="8"/>
      <c r="AK524" s="8">
        <f t="shared" si="29"/>
        <v>0</v>
      </c>
      <c r="AL524" s="8">
        <f t="shared" si="30"/>
        <v>0</v>
      </c>
      <c r="AM524" s="9"/>
    </row>
    <row r="525" spans="1:39" ht="24.95" customHeight="1">
      <c r="A525" s="10" t="s">
        <v>562</v>
      </c>
      <c r="B525" s="8">
        <v>2616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8"/>
      <c r="N525" s="8"/>
      <c r="O525" s="8"/>
      <c r="P525" s="8"/>
      <c r="Q525" s="8"/>
      <c r="R525" s="8"/>
      <c r="S525" s="8"/>
      <c r="T525" s="8"/>
      <c r="U525" s="18"/>
      <c r="V525" s="18"/>
      <c r="W525" s="18"/>
      <c r="X525" s="18"/>
      <c r="Y525" s="18">
        <v>127</v>
      </c>
      <c r="Z525" s="8"/>
      <c r="AA525" s="18"/>
      <c r="AB525" s="18"/>
      <c r="AC525" s="8">
        <f t="shared" si="28"/>
        <v>0</v>
      </c>
      <c r="AD525" s="18"/>
      <c r="AE525" s="18"/>
      <c r="AF525" s="8"/>
      <c r="AG525" s="18"/>
      <c r="AH525" s="8"/>
      <c r="AI525" s="8"/>
      <c r="AJ525" s="8"/>
      <c r="AK525" s="8">
        <f t="shared" si="29"/>
        <v>-127</v>
      </c>
      <c r="AL525" s="8">
        <f t="shared" si="30"/>
        <v>2489</v>
      </c>
      <c r="AM525" s="9"/>
    </row>
    <row r="526" spans="1:39" ht="24.95" customHeight="1">
      <c r="A526" s="10" t="s">
        <v>563</v>
      </c>
      <c r="B526" s="8">
        <v>810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8"/>
      <c r="N526" s="8"/>
      <c r="O526" s="8"/>
      <c r="P526" s="8"/>
      <c r="Q526" s="8"/>
      <c r="R526" s="8"/>
      <c r="S526" s="8"/>
      <c r="T526" s="8"/>
      <c r="U526" s="18"/>
      <c r="V526" s="18"/>
      <c r="W526" s="18"/>
      <c r="X526" s="18"/>
      <c r="Y526" s="18"/>
      <c r="Z526" s="8"/>
      <c r="AA526" s="18"/>
      <c r="AB526" s="18"/>
      <c r="AC526" s="8">
        <f t="shared" si="28"/>
        <v>0</v>
      </c>
      <c r="AD526" s="18"/>
      <c r="AE526" s="18"/>
      <c r="AF526" s="8"/>
      <c r="AG526" s="18"/>
      <c r="AH526" s="8"/>
      <c r="AI526" s="8"/>
      <c r="AJ526" s="8"/>
      <c r="AK526" s="8">
        <f t="shared" si="29"/>
        <v>0</v>
      </c>
      <c r="AL526" s="8">
        <f t="shared" si="30"/>
        <v>810</v>
      </c>
      <c r="AM526" s="9"/>
    </row>
    <row r="527" spans="1:39" ht="24.95" customHeight="1">
      <c r="A527" s="20" t="s">
        <v>564</v>
      </c>
      <c r="B527" s="8">
        <v>0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8"/>
      <c r="N527" s="8"/>
      <c r="O527" s="8"/>
      <c r="P527" s="8"/>
      <c r="Q527" s="8"/>
      <c r="R527" s="8"/>
      <c r="S527" s="8"/>
      <c r="T527" s="8"/>
      <c r="U527" s="18"/>
      <c r="V527" s="18"/>
      <c r="W527" s="18"/>
      <c r="X527" s="18"/>
      <c r="Y527" s="18"/>
      <c r="Z527" s="8"/>
      <c r="AA527" s="18"/>
      <c r="AB527" s="18"/>
      <c r="AC527" s="8">
        <f t="shared" si="28"/>
        <v>0</v>
      </c>
      <c r="AD527" s="18"/>
      <c r="AE527" s="18"/>
      <c r="AF527" s="8"/>
      <c r="AG527" s="18"/>
      <c r="AH527" s="8"/>
      <c r="AI527" s="8"/>
      <c r="AJ527" s="8"/>
      <c r="AK527" s="8">
        <f t="shared" si="29"/>
        <v>0</v>
      </c>
      <c r="AL527" s="8">
        <f t="shared" si="30"/>
        <v>0</v>
      </c>
      <c r="AM527" s="9"/>
    </row>
    <row r="528" spans="1:39" ht="24.95" customHeight="1">
      <c r="A528" s="20" t="s">
        <v>565</v>
      </c>
      <c r="B528" s="8">
        <v>1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8"/>
      <c r="N528" s="8"/>
      <c r="O528" s="8"/>
      <c r="P528" s="8"/>
      <c r="Q528" s="8"/>
      <c r="R528" s="8"/>
      <c r="S528" s="8"/>
      <c r="T528" s="8"/>
      <c r="U528" s="18"/>
      <c r="V528" s="18"/>
      <c r="W528" s="18"/>
      <c r="X528" s="18">
        <f>+Y525*2</f>
        <v>254</v>
      </c>
      <c r="Y528" s="18"/>
      <c r="Z528" s="8"/>
      <c r="AA528" s="18">
        <f>+(Z525*2)+(Z526*3)</f>
        <v>0</v>
      </c>
      <c r="AB528" s="18"/>
      <c r="AC528" s="8">
        <f t="shared" si="28"/>
        <v>0</v>
      </c>
      <c r="AD528" s="18"/>
      <c r="AE528" s="18"/>
      <c r="AF528" s="8"/>
      <c r="AG528" s="18"/>
      <c r="AH528" s="8"/>
      <c r="AI528" s="8"/>
      <c r="AJ528" s="8">
        <v>255</v>
      </c>
      <c r="AK528" s="8">
        <f t="shared" si="29"/>
        <v>-1</v>
      </c>
      <c r="AL528" s="8">
        <f t="shared" si="30"/>
        <v>0</v>
      </c>
      <c r="AM528" s="9"/>
    </row>
    <row r="529" spans="1:39" ht="24.95" customHeight="1">
      <c r="A529" s="20" t="s">
        <v>566</v>
      </c>
      <c r="B529" s="8">
        <v>5370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8"/>
      <c r="N529" s="8"/>
      <c r="O529" s="8"/>
      <c r="P529" s="8"/>
      <c r="Q529" s="8"/>
      <c r="R529" s="8"/>
      <c r="S529" s="8"/>
      <c r="T529" s="8"/>
      <c r="U529" s="18"/>
      <c r="V529" s="18"/>
      <c r="W529" s="18"/>
      <c r="X529" s="18"/>
      <c r="Y529" s="18"/>
      <c r="Z529" s="8"/>
      <c r="AA529" s="18">
        <f>+Z530*2</f>
        <v>0</v>
      </c>
      <c r="AB529" s="18"/>
      <c r="AC529" s="8">
        <f t="shared" si="28"/>
        <v>0</v>
      </c>
      <c r="AD529" s="18"/>
      <c r="AE529" s="18"/>
      <c r="AF529" s="8"/>
      <c r="AG529" s="18"/>
      <c r="AH529" s="8"/>
      <c r="AI529" s="8"/>
      <c r="AJ529" s="8"/>
      <c r="AK529" s="8">
        <f t="shared" si="29"/>
        <v>0</v>
      </c>
      <c r="AL529" s="8">
        <f t="shared" si="30"/>
        <v>5370</v>
      </c>
      <c r="AM529" s="9"/>
    </row>
    <row r="530" spans="1:39" ht="24.95" customHeight="1">
      <c r="A530" s="10" t="s">
        <v>567</v>
      </c>
      <c r="B530" s="8">
        <v>0</v>
      </c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8"/>
      <c r="N530" s="8"/>
      <c r="O530" s="8"/>
      <c r="P530" s="8"/>
      <c r="Q530" s="8"/>
      <c r="R530" s="8"/>
      <c r="S530" s="8"/>
      <c r="T530" s="8"/>
      <c r="U530" s="18"/>
      <c r="V530" s="18"/>
      <c r="W530" s="18"/>
      <c r="X530" s="18"/>
      <c r="Y530" s="18"/>
      <c r="Z530" s="8"/>
      <c r="AA530" s="18"/>
      <c r="AB530" s="18"/>
      <c r="AC530" s="8">
        <f t="shared" si="28"/>
        <v>0</v>
      </c>
      <c r="AD530" s="18"/>
      <c r="AE530" s="18"/>
      <c r="AF530" s="8"/>
      <c r="AG530" s="18"/>
      <c r="AH530" s="8"/>
      <c r="AI530" s="8"/>
      <c r="AJ530" s="8"/>
      <c r="AK530" s="8">
        <f t="shared" si="29"/>
        <v>0</v>
      </c>
      <c r="AL530" s="8">
        <f t="shared" si="30"/>
        <v>0</v>
      </c>
      <c r="AM530" s="9"/>
    </row>
    <row r="531" spans="1:39" ht="24.95" customHeight="1">
      <c r="A531" s="20" t="s">
        <v>568</v>
      </c>
      <c r="B531" s="8">
        <v>0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8"/>
      <c r="N531" s="8"/>
      <c r="O531" s="8"/>
      <c r="P531" s="8"/>
      <c r="Q531" s="8"/>
      <c r="R531" s="8"/>
      <c r="S531" s="8"/>
      <c r="T531" s="8"/>
      <c r="U531" s="18"/>
      <c r="V531" s="18"/>
      <c r="W531" s="18"/>
      <c r="X531" s="18"/>
      <c r="Y531" s="18"/>
      <c r="Z531" s="8"/>
      <c r="AA531" s="18"/>
      <c r="AB531" s="18"/>
      <c r="AC531" s="8">
        <f t="shared" si="28"/>
        <v>0</v>
      </c>
      <c r="AD531" s="18"/>
      <c r="AE531" s="18"/>
      <c r="AF531" s="8"/>
      <c r="AG531" s="18"/>
      <c r="AH531" s="8"/>
      <c r="AI531" s="8"/>
      <c r="AJ531" s="8"/>
      <c r="AK531" s="8">
        <f t="shared" si="29"/>
        <v>0</v>
      </c>
      <c r="AL531" s="8">
        <f t="shared" si="30"/>
        <v>0</v>
      </c>
      <c r="AM531" s="9"/>
    </row>
    <row r="532" spans="1:39" ht="24.95" customHeight="1">
      <c r="A532" s="20" t="s">
        <v>569</v>
      </c>
      <c r="B532" s="8">
        <v>0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8"/>
      <c r="N532" s="8"/>
      <c r="O532" s="8"/>
      <c r="P532" s="8"/>
      <c r="Q532" s="8"/>
      <c r="R532" s="8"/>
      <c r="S532" s="8"/>
      <c r="T532" s="8"/>
      <c r="U532" s="18"/>
      <c r="V532" s="18"/>
      <c r="W532" s="18"/>
      <c r="X532" s="18">
        <f>+Y533*2</f>
        <v>0</v>
      </c>
      <c r="Y532" s="18"/>
      <c r="Z532" s="8"/>
      <c r="AA532" s="18">
        <f>+(Z533*2)+(Z534*3)</f>
        <v>0</v>
      </c>
      <c r="AB532" s="18"/>
      <c r="AC532" s="8">
        <f t="shared" si="28"/>
        <v>0</v>
      </c>
      <c r="AD532" s="18"/>
      <c r="AE532" s="18"/>
      <c r="AF532" s="8"/>
      <c r="AG532" s="18"/>
      <c r="AH532" s="8"/>
      <c r="AI532" s="8"/>
      <c r="AJ532" s="8"/>
      <c r="AK532" s="8">
        <f t="shared" si="29"/>
        <v>0</v>
      </c>
      <c r="AL532" s="8">
        <f t="shared" si="30"/>
        <v>0</v>
      </c>
      <c r="AM532" s="9"/>
    </row>
    <row r="533" spans="1:39" ht="24.95" customHeight="1">
      <c r="A533" s="7" t="s">
        <v>570</v>
      </c>
      <c r="B533" s="8">
        <v>1307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8"/>
      <c r="N533" s="8"/>
      <c r="O533" s="8"/>
      <c r="P533" s="8"/>
      <c r="Q533" s="8"/>
      <c r="R533" s="8"/>
      <c r="S533" s="8"/>
      <c r="T533" s="8"/>
      <c r="U533" s="18"/>
      <c r="V533" s="18"/>
      <c r="W533" s="18"/>
      <c r="X533" s="18"/>
      <c r="Y533" s="18"/>
      <c r="Z533" s="8"/>
      <c r="AA533" s="18"/>
      <c r="AB533" s="18"/>
      <c r="AC533" s="8">
        <f t="shared" si="28"/>
        <v>0</v>
      </c>
      <c r="AD533" s="18"/>
      <c r="AE533" s="18"/>
      <c r="AF533" s="8"/>
      <c r="AG533" s="18"/>
      <c r="AH533" s="8"/>
      <c r="AI533" s="8"/>
      <c r="AJ533" s="8"/>
      <c r="AK533" s="8">
        <f t="shared" si="29"/>
        <v>0</v>
      </c>
      <c r="AL533" s="8">
        <f t="shared" si="30"/>
        <v>1307</v>
      </c>
      <c r="AM533" s="9"/>
    </row>
    <row r="534" spans="1:39" ht="24.95" customHeight="1">
      <c r="A534" s="7" t="s">
        <v>571</v>
      </c>
      <c r="B534" s="8">
        <v>2066</v>
      </c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8"/>
      <c r="N534" s="8"/>
      <c r="O534" s="8"/>
      <c r="P534" s="8"/>
      <c r="Q534" s="8"/>
      <c r="R534" s="8"/>
      <c r="S534" s="8"/>
      <c r="T534" s="8"/>
      <c r="U534" s="18"/>
      <c r="V534" s="18"/>
      <c r="W534" s="18"/>
      <c r="X534" s="18"/>
      <c r="Y534" s="18"/>
      <c r="Z534" s="8"/>
      <c r="AA534" s="18"/>
      <c r="AB534" s="18"/>
      <c r="AC534" s="8">
        <f t="shared" si="28"/>
        <v>0</v>
      </c>
      <c r="AD534" s="18"/>
      <c r="AE534" s="18"/>
      <c r="AF534" s="8"/>
      <c r="AG534" s="18"/>
      <c r="AH534" s="8"/>
      <c r="AI534" s="8"/>
      <c r="AJ534" s="8"/>
      <c r="AK534" s="8">
        <f t="shared" si="29"/>
        <v>0</v>
      </c>
      <c r="AL534" s="8">
        <f t="shared" si="30"/>
        <v>2066</v>
      </c>
      <c r="AM534" s="9"/>
    </row>
    <row r="535" spans="1:39" ht="24.95" customHeight="1">
      <c r="A535" s="20" t="s">
        <v>572</v>
      </c>
      <c r="B535" s="8">
        <v>3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8"/>
      <c r="N535" s="8"/>
      <c r="O535" s="8"/>
      <c r="P535" s="8"/>
      <c r="Q535" s="8"/>
      <c r="R535" s="8"/>
      <c r="S535" s="8"/>
      <c r="T535" s="8"/>
      <c r="U535" s="18"/>
      <c r="V535" s="18"/>
      <c r="W535" s="18"/>
      <c r="X535" s="18"/>
      <c r="Y535" s="18"/>
      <c r="Z535" s="8"/>
      <c r="AA535" s="18"/>
      <c r="AB535" s="18"/>
      <c r="AC535" s="8">
        <f t="shared" si="28"/>
        <v>0</v>
      </c>
      <c r="AD535" s="18"/>
      <c r="AE535" s="18"/>
      <c r="AF535" s="8"/>
      <c r="AG535" s="18"/>
      <c r="AH535" s="8"/>
      <c r="AI535" s="8"/>
      <c r="AJ535" s="8"/>
      <c r="AK535" s="8">
        <f t="shared" si="29"/>
        <v>0</v>
      </c>
      <c r="AL535" s="8">
        <f t="shared" si="30"/>
        <v>3</v>
      </c>
      <c r="AM535" s="9"/>
    </row>
    <row r="536" spans="1:39" ht="24.95" customHeight="1">
      <c r="A536" s="23" t="s">
        <v>573</v>
      </c>
      <c r="B536" s="13">
        <v>0</v>
      </c>
      <c r="C536" s="8"/>
      <c r="D536" s="8"/>
      <c r="E536" s="13"/>
      <c r="F536" s="13"/>
      <c r="G536" s="13"/>
      <c r="H536" s="8"/>
      <c r="I536" s="13"/>
      <c r="J536" s="13"/>
      <c r="K536" s="13"/>
      <c r="L536" s="8"/>
      <c r="M536" s="24"/>
      <c r="N536" s="13"/>
      <c r="O536" s="13"/>
      <c r="P536" s="13"/>
      <c r="Q536" s="13"/>
      <c r="R536" s="8"/>
      <c r="S536" s="13"/>
      <c r="T536" s="13"/>
      <c r="U536" s="24"/>
      <c r="V536" s="24"/>
      <c r="W536" s="24"/>
      <c r="X536" s="24"/>
      <c r="Y536" s="24"/>
      <c r="Z536" s="13"/>
      <c r="AA536" s="24"/>
      <c r="AB536" s="24"/>
      <c r="AC536" s="13">
        <f t="shared" si="28"/>
        <v>0</v>
      </c>
      <c r="AD536" s="24"/>
      <c r="AE536" s="24"/>
      <c r="AF536" s="13"/>
      <c r="AG536" s="24"/>
      <c r="AH536" s="13"/>
      <c r="AI536" s="13"/>
      <c r="AJ536" s="8"/>
      <c r="AK536" s="8">
        <f t="shared" si="29"/>
        <v>0</v>
      </c>
      <c r="AL536" s="8">
        <f t="shared" si="30"/>
        <v>0</v>
      </c>
      <c r="AM536" s="9"/>
    </row>
    <row r="537" spans="1:39" ht="24.95" customHeight="1">
      <c r="A537" s="20" t="s">
        <v>574</v>
      </c>
      <c r="B537" s="8">
        <v>4480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8"/>
      <c r="N537" s="8"/>
      <c r="O537" s="8"/>
      <c r="P537" s="8"/>
      <c r="Q537" s="8"/>
      <c r="R537" s="8"/>
      <c r="S537" s="8"/>
      <c r="T537" s="8"/>
      <c r="U537" s="18"/>
      <c r="V537" s="18"/>
      <c r="W537" s="18"/>
      <c r="X537" s="18"/>
      <c r="Y537" s="18"/>
      <c r="Z537" s="8"/>
      <c r="AA537" s="18">
        <f>+Z538*2+Z539*3+Z540*4</f>
        <v>0</v>
      </c>
      <c r="AB537" s="18"/>
      <c r="AC537" s="8">
        <f t="shared" si="28"/>
        <v>0</v>
      </c>
      <c r="AD537" s="18"/>
      <c r="AE537" s="18">
        <f>AD536</f>
        <v>0</v>
      </c>
      <c r="AF537" s="8"/>
      <c r="AG537" s="18"/>
      <c r="AH537" s="8"/>
      <c r="AI537" s="8"/>
      <c r="AJ537" s="8"/>
      <c r="AK537" s="8">
        <f t="shared" si="29"/>
        <v>0</v>
      </c>
      <c r="AL537" s="8">
        <f t="shared" si="30"/>
        <v>4480</v>
      </c>
      <c r="AM537" s="9"/>
    </row>
    <row r="538" spans="1:39" ht="24.95" customHeight="1">
      <c r="A538" s="20" t="s">
        <v>575</v>
      </c>
      <c r="B538" s="8">
        <v>0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8"/>
      <c r="N538" s="8"/>
      <c r="O538" s="8"/>
      <c r="P538" s="8"/>
      <c r="Q538" s="8"/>
      <c r="R538" s="8"/>
      <c r="S538" s="8"/>
      <c r="T538" s="8"/>
      <c r="U538" s="18"/>
      <c r="V538" s="18"/>
      <c r="W538" s="18"/>
      <c r="X538" s="18"/>
      <c r="Y538" s="18"/>
      <c r="Z538" s="8"/>
      <c r="AA538" s="18"/>
      <c r="AB538" s="18"/>
      <c r="AC538" s="8">
        <f t="shared" si="28"/>
        <v>0</v>
      </c>
      <c r="AD538" s="18"/>
      <c r="AE538" s="18"/>
      <c r="AF538" s="8"/>
      <c r="AG538" s="18"/>
      <c r="AH538" s="8"/>
      <c r="AI538" s="8"/>
      <c r="AJ538" s="8"/>
      <c r="AK538" s="8">
        <f t="shared" si="29"/>
        <v>0</v>
      </c>
      <c r="AL538" s="8">
        <f t="shared" si="30"/>
        <v>0</v>
      </c>
      <c r="AM538" s="9"/>
    </row>
    <row r="539" spans="1:39" ht="24.95" customHeight="1">
      <c r="A539" s="20" t="s">
        <v>576</v>
      </c>
      <c r="B539" s="8">
        <v>0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8"/>
      <c r="N539" s="8"/>
      <c r="O539" s="8"/>
      <c r="P539" s="8"/>
      <c r="Q539" s="8"/>
      <c r="R539" s="8"/>
      <c r="S539" s="8"/>
      <c r="T539" s="8"/>
      <c r="U539" s="18"/>
      <c r="V539" s="18"/>
      <c r="W539" s="18"/>
      <c r="X539" s="18"/>
      <c r="Y539" s="18"/>
      <c r="Z539" s="8"/>
      <c r="AA539" s="18"/>
      <c r="AB539" s="18"/>
      <c r="AC539" s="8"/>
      <c r="AD539" s="18"/>
      <c r="AE539" s="18"/>
      <c r="AF539" s="8"/>
      <c r="AG539" s="18"/>
      <c r="AH539" s="8"/>
      <c r="AI539" s="8"/>
      <c r="AJ539" s="8"/>
      <c r="AK539" s="8">
        <f t="shared" si="29"/>
        <v>0</v>
      </c>
      <c r="AL539" s="8">
        <f t="shared" si="30"/>
        <v>0</v>
      </c>
      <c r="AM539" s="9"/>
    </row>
    <row r="540" spans="1:39" ht="24.95" customHeight="1">
      <c r="A540" s="20" t="s">
        <v>577</v>
      </c>
      <c r="B540" s="8">
        <v>0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8"/>
      <c r="N540" s="8"/>
      <c r="O540" s="8"/>
      <c r="P540" s="8"/>
      <c r="Q540" s="8"/>
      <c r="R540" s="8"/>
      <c r="S540" s="8"/>
      <c r="T540" s="8"/>
      <c r="U540" s="18"/>
      <c r="V540" s="18"/>
      <c r="W540" s="18"/>
      <c r="X540" s="18"/>
      <c r="Y540" s="18"/>
      <c r="Z540" s="8"/>
      <c r="AA540" s="18">
        <f>+Z541*2+Z542*3</f>
        <v>0</v>
      </c>
      <c r="AB540" s="18"/>
      <c r="AC540" s="8">
        <f t="shared" ref="AC540:AC552" si="31">+AB540</f>
        <v>0</v>
      </c>
      <c r="AD540" s="18"/>
      <c r="AE540" s="18"/>
      <c r="AF540" s="8"/>
      <c r="AG540" s="18"/>
      <c r="AH540" s="8"/>
      <c r="AI540" s="8"/>
      <c r="AJ540" s="8"/>
      <c r="AK540" s="8">
        <f t="shared" si="29"/>
        <v>0</v>
      </c>
      <c r="AL540" s="8">
        <f t="shared" si="30"/>
        <v>0</v>
      </c>
      <c r="AM540" s="9"/>
    </row>
    <row r="541" spans="1:39" ht="24.95" customHeight="1">
      <c r="A541" s="20" t="s">
        <v>578</v>
      </c>
      <c r="B541" s="8">
        <v>8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8"/>
      <c r="N541" s="8"/>
      <c r="O541" s="8"/>
      <c r="P541" s="8"/>
      <c r="Q541" s="8"/>
      <c r="R541" s="8"/>
      <c r="S541" s="8"/>
      <c r="T541" s="8"/>
      <c r="U541" s="18"/>
      <c r="V541" s="18"/>
      <c r="W541" s="18"/>
      <c r="X541" s="18"/>
      <c r="Y541" s="18"/>
      <c r="Z541" s="8"/>
      <c r="AA541" s="18"/>
      <c r="AB541" s="18"/>
      <c r="AC541" s="8">
        <f t="shared" si="31"/>
        <v>0</v>
      </c>
      <c r="AD541" s="18"/>
      <c r="AE541" s="18"/>
      <c r="AF541" s="8"/>
      <c r="AG541" s="18"/>
      <c r="AH541" s="8"/>
      <c r="AI541" s="8"/>
      <c r="AJ541" s="8"/>
      <c r="AK541" s="8">
        <f t="shared" si="29"/>
        <v>0</v>
      </c>
      <c r="AL541" s="8">
        <f t="shared" si="30"/>
        <v>8</v>
      </c>
      <c r="AM541" s="9"/>
    </row>
    <row r="542" spans="1:39" ht="24.95" customHeight="1">
      <c r="A542" s="10" t="s">
        <v>579</v>
      </c>
      <c r="B542" s="8">
        <v>4600</v>
      </c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8"/>
      <c r="N542" s="8"/>
      <c r="O542" s="8"/>
      <c r="P542" s="8"/>
      <c r="Q542" s="8"/>
      <c r="R542" s="8"/>
      <c r="S542" s="8"/>
      <c r="T542" s="8"/>
      <c r="U542" s="18"/>
      <c r="V542" s="18"/>
      <c r="W542" s="18"/>
      <c r="X542" s="18"/>
      <c r="Y542" s="18"/>
      <c r="Z542" s="8"/>
      <c r="AA542" s="18"/>
      <c r="AB542" s="18"/>
      <c r="AC542" s="8">
        <f t="shared" si="31"/>
        <v>0</v>
      </c>
      <c r="AD542" s="18"/>
      <c r="AE542" s="18"/>
      <c r="AF542" s="8"/>
      <c r="AG542" s="18"/>
      <c r="AH542" s="8"/>
      <c r="AI542" s="8"/>
      <c r="AJ542" s="8"/>
      <c r="AK542" s="8">
        <f t="shared" si="29"/>
        <v>0</v>
      </c>
      <c r="AL542" s="8">
        <f t="shared" si="30"/>
        <v>4600</v>
      </c>
      <c r="AM542" s="9"/>
    </row>
    <row r="543" spans="1:39" ht="24.95" customHeight="1">
      <c r="A543" s="10" t="s">
        <v>580</v>
      </c>
      <c r="B543" s="8">
        <v>1080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8"/>
      <c r="N543" s="8"/>
      <c r="O543" s="8"/>
      <c r="P543" s="8"/>
      <c r="Q543" s="8"/>
      <c r="R543" s="8"/>
      <c r="S543" s="8"/>
      <c r="T543" s="8"/>
      <c r="U543" s="18"/>
      <c r="V543" s="18"/>
      <c r="W543" s="18"/>
      <c r="X543" s="18"/>
      <c r="Y543" s="18"/>
      <c r="Z543" s="8"/>
      <c r="AA543" s="18"/>
      <c r="AB543" s="18"/>
      <c r="AC543" s="8">
        <f t="shared" si="31"/>
        <v>0</v>
      </c>
      <c r="AD543" s="18"/>
      <c r="AE543" s="18"/>
      <c r="AF543" s="8"/>
      <c r="AG543" s="18"/>
      <c r="AH543" s="8"/>
      <c r="AI543" s="8"/>
      <c r="AJ543" s="8"/>
      <c r="AK543" s="8">
        <f t="shared" si="29"/>
        <v>0</v>
      </c>
      <c r="AL543" s="8">
        <f t="shared" si="30"/>
        <v>1080</v>
      </c>
      <c r="AM543" s="9"/>
    </row>
    <row r="544" spans="1:39" ht="24.95" customHeight="1">
      <c r="A544" s="20" t="s">
        <v>581</v>
      </c>
      <c r="B544" s="8">
        <v>0</v>
      </c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8"/>
      <c r="N544" s="8"/>
      <c r="O544" s="8"/>
      <c r="P544" s="8"/>
      <c r="Q544" s="8"/>
      <c r="R544" s="8"/>
      <c r="S544" s="8"/>
      <c r="T544" s="8"/>
      <c r="U544" s="18"/>
      <c r="V544" s="18"/>
      <c r="W544" s="18"/>
      <c r="X544" s="18"/>
      <c r="Y544" s="18"/>
      <c r="Z544" s="8"/>
      <c r="AA544" s="18"/>
      <c r="AB544" s="18"/>
      <c r="AC544" s="8">
        <f t="shared" si="31"/>
        <v>0</v>
      </c>
      <c r="AD544" s="18"/>
      <c r="AE544" s="18"/>
      <c r="AF544" s="8"/>
      <c r="AG544" s="18"/>
      <c r="AH544" s="8"/>
      <c r="AI544" s="8"/>
      <c r="AJ544" s="8"/>
      <c r="AK544" s="8">
        <f t="shared" si="29"/>
        <v>0</v>
      </c>
      <c r="AL544" s="8">
        <f t="shared" si="30"/>
        <v>0</v>
      </c>
      <c r="AM544" s="9"/>
    </row>
    <row r="545" spans="1:39" ht="24.95" customHeight="1">
      <c r="A545" s="20" t="s">
        <v>582</v>
      </c>
      <c r="B545" s="8">
        <v>10619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8"/>
      <c r="N545" s="8"/>
      <c r="O545" s="8"/>
      <c r="P545" s="8"/>
      <c r="Q545" s="8"/>
      <c r="R545" s="8"/>
      <c r="S545" s="8"/>
      <c r="T545" s="8"/>
      <c r="U545" s="18"/>
      <c r="V545" s="18"/>
      <c r="W545" s="18"/>
      <c r="X545" s="18">
        <f>+Y542*2</f>
        <v>0</v>
      </c>
      <c r="Y545" s="18"/>
      <c r="Z545" s="8"/>
      <c r="AA545" s="18">
        <f>+(Z542*2)+(Z543*3)</f>
        <v>0</v>
      </c>
      <c r="AB545" s="18"/>
      <c r="AC545" s="8">
        <f t="shared" si="31"/>
        <v>0</v>
      </c>
      <c r="AD545" s="18"/>
      <c r="AE545" s="18"/>
      <c r="AF545" s="8"/>
      <c r="AG545" s="18"/>
      <c r="AH545" s="8"/>
      <c r="AI545" s="8"/>
      <c r="AJ545" s="8">
        <v>395</v>
      </c>
      <c r="AK545" s="8">
        <f t="shared" si="29"/>
        <v>-395</v>
      </c>
      <c r="AL545" s="8">
        <f t="shared" si="30"/>
        <v>10224</v>
      </c>
      <c r="AM545" s="9"/>
    </row>
    <row r="546" spans="1:39" ht="24.95" customHeight="1">
      <c r="A546" s="20" t="s">
        <v>583</v>
      </c>
      <c r="B546" s="8">
        <v>0</v>
      </c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8"/>
      <c r="N546" s="8"/>
      <c r="O546" s="8"/>
      <c r="P546" s="8"/>
      <c r="Q546" s="8"/>
      <c r="R546" s="8"/>
      <c r="S546" s="8"/>
      <c r="T546" s="8"/>
      <c r="U546" s="18"/>
      <c r="V546" s="18"/>
      <c r="W546" s="18"/>
      <c r="X546" s="18"/>
      <c r="Y546" s="18"/>
      <c r="Z546" s="8"/>
      <c r="AA546" s="18"/>
      <c r="AB546" s="18"/>
      <c r="AC546" s="8">
        <f t="shared" si="31"/>
        <v>0</v>
      </c>
      <c r="AD546" s="18"/>
      <c r="AE546" s="18"/>
      <c r="AF546" s="8"/>
      <c r="AG546" s="18"/>
      <c r="AH546" s="8"/>
      <c r="AI546" s="8"/>
      <c r="AJ546" s="8"/>
      <c r="AK546" s="8">
        <f t="shared" si="29"/>
        <v>0</v>
      </c>
      <c r="AL546" s="8">
        <f t="shared" si="30"/>
        <v>0</v>
      </c>
      <c r="AM546" s="9"/>
    </row>
    <row r="547" spans="1:39" ht="24.95" customHeight="1">
      <c r="A547" s="20" t="s">
        <v>584</v>
      </c>
      <c r="B547" s="8">
        <v>29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8"/>
      <c r="N547" s="8"/>
      <c r="O547" s="8"/>
      <c r="P547" s="8"/>
      <c r="Q547" s="8"/>
      <c r="R547" s="8"/>
      <c r="S547" s="8"/>
      <c r="T547" s="8"/>
      <c r="U547" s="18"/>
      <c r="V547" s="18"/>
      <c r="W547" s="18"/>
      <c r="X547" s="18"/>
      <c r="Y547" s="18"/>
      <c r="Z547" s="8"/>
      <c r="AA547" s="18">
        <f>+(Z548*2)+(Z549*3)</f>
        <v>0</v>
      </c>
      <c r="AB547" s="18"/>
      <c r="AC547" s="8">
        <f t="shared" si="31"/>
        <v>0</v>
      </c>
      <c r="AD547" s="18"/>
      <c r="AE547" s="18"/>
      <c r="AF547" s="8"/>
      <c r="AG547" s="18"/>
      <c r="AH547" s="8"/>
      <c r="AI547" s="8"/>
      <c r="AJ547" s="8"/>
      <c r="AK547" s="8">
        <f t="shared" si="29"/>
        <v>0</v>
      </c>
      <c r="AL547" s="8">
        <f t="shared" si="30"/>
        <v>29</v>
      </c>
      <c r="AM547" s="9"/>
    </row>
    <row r="548" spans="1:39" ht="24.95" customHeight="1">
      <c r="A548" s="7" t="s">
        <v>585</v>
      </c>
      <c r="B548" s="8">
        <v>0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8"/>
      <c r="N548" s="8"/>
      <c r="O548" s="8"/>
      <c r="P548" s="8"/>
      <c r="Q548" s="8"/>
      <c r="R548" s="8"/>
      <c r="S548" s="8"/>
      <c r="T548" s="8"/>
      <c r="U548" s="18"/>
      <c r="V548" s="18"/>
      <c r="W548" s="18"/>
      <c r="X548" s="18"/>
      <c r="Y548" s="18"/>
      <c r="Z548" s="8"/>
      <c r="AA548" s="18"/>
      <c r="AB548" s="18"/>
      <c r="AC548" s="8">
        <f t="shared" si="31"/>
        <v>0</v>
      </c>
      <c r="AD548" s="18"/>
      <c r="AE548" s="18"/>
      <c r="AF548" s="8"/>
      <c r="AG548" s="18"/>
      <c r="AH548" s="8"/>
      <c r="AI548" s="8"/>
      <c r="AJ548" s="8"/>
      <c r="AK548" s="8">
        <f t="shared" si="29"/>
        <v>0</v>
      </c>
      <c r="AL548" s="8">
        <f t="shared" si="30"/>
        <v>0</v>
      </c>
      <c r="AM548" s="9"/>
    </row>
    <row r="549" spans="1:39" ht="24.95" customHeight="1">
      <c r="A549" s="7" t="s">
        <v>586</v>
      </c>
      <c r="B549" s="8">
        <v>0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8"/>
      <c r="N549" s="8"/>
      <c r="O549" s="8"/>
      <c r="P549" s="8"/>
      <c r="Q549" s="8"/>
      <c r="R549" s="8"/>
      <c r="S549" s="8"/>
      <c r="T549" s="8"/>
      <c r="U549" s="18"/>
      <c r="V549" s="18"/>
      <c r="W549" s="18"/>
      <c r="X549" s="18"/>
      <c r="Y549" s="18"/>
      <c r="Z549" s="8"/>
      <c r="AA549" s="18"/>
      <c r="AB549" s="18"/>
      <c r="AC549" s="8">
        <f t="shared" si="31"/>
        <v>0</v>
      </c>
      <c r="AD549" s="18"/>
      <c r="AE549" s="18"/>
      <c r="AF549" s="8"/>
      <c r="AG549" s="18"/>
      <c r="AH549" s="8"/>
      <c r="AI549" s="8"/>
      <c r="AJ549" s="8"/>
      <c r="AK549" s="8">
        <f t="shared" si="29"/>
        <v>0</v>
      </c>
      <c r="AL549" s="8">
        <f t="shared" si="30"/>
        <v>0</v>
      </c>
      <c r="AM549" s="9"/>
    </row>
    <row r="550" spans="1:39" ht="24.95" customHeight="1">
      <c r="A550" s="20" t="s">
        <v>587</v>
      </c>
      <c r="B550" s="8">
        <v>0</v>
      </c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8"/>
      <c r="N550" s="8"/>
      <c r="O550" s="8"/>
      <c r="P550" s="8"/>
      <c r="Q550" s="8"/>
      <c r="R550" s="8"/>
      <c r="S550" s="8"/>
      <c r="T550" s="8"/>
      <c r="U550" s="18"/>
      <c r="V550" s="18"/>
      <c r="W550" s="18"/>
      <c r="X550" s="18"/>
      <c r="Y550" s="18"/>
      <c r="Z550" s="8"/>
      <c r="AA550" s="18"/>
      <c r="AB550" s="18"/>
      <c r="AC550" s="8">
        <f t="shared" si="31"/>
        <v>0</v>
      </c>
      <c r="AD550" s="18"/>
      <c r="AE550" s="18"/>
      <c r="AF550" s="8"/>
      <c r="AG550" s="18"/>
      <c r="AH550" s="8"/>
      <c r="AI550" s="8"/>
      <c r="AJ550" s="8"/>
      <c r="AK550" s="8">
        <f t="shared" si="29"/>
        <v>0</v>
      </c>
      <c r="AL550" s="8">
        <f t="shared" si="30"/>
        <v>0</v>
      </c>
      <c r="AM550" s="9"/>
    </row>
    <row r="551" spans="1:39" ht="24.95" customHeight="1">
      <c r="A551" s="20" t="s">
        <v>588</v>
      </c>
      <c r="B551" s="8">
        <v>1554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8"/>
      <c r="N551" s="8"/>
      <c r="O551" s="8"/>
      <c r="P551" s="8"/>
      <c r="Q551" s="8"/>
      <c r="R551" s="8"/>
      <c r="S551" s="8"/>
      <c r="T551" s="8"/>
      <c r="U551" s="18"/>
      <c r="V551" s="18"/>
      <c r="W551" s="18"/>
      <c r="X551" s="18"/>
      <c r="Y551" s="18"/>
      <c r="Z551" s="8"/>
      <c r="AA551" s="18">
        <f>+Z552*2+Z553*3</f>
        <v>0</v>
      </c>
      <c r="AB551" s="18"/>
      <c r="AC551" s="8">
        <f t="shared" si="31"/>
        <v>0</v>
      </c>
      <c r="AD551" s="18"/>
      <c r="AE551" s="18"/>
      <c r="AF551" s="8"/>
      <c r="AG551" s="18"/>
      <c r="AH551" s="8"/>
      <c r="AI551" s="8"/>
      <c r="AJ551" s="8">
        <v>1</v>
      </c>
      <c r="AK551" s="8">
        <f t="shared" si="29"/>
        <v>-1</v>
      </c>
      <c r="AL551" s="8">
        <f t="shared" si="30"/>
        <v>1553</v>
      </c>
      <c r="AM551" s="9"/>
    </row>
    <row r="552" spans="1:39" ht="24.95" customHeight="1">
      <c r="A552" s="20" t="s">
        <v>589</v>
      </c>
      <c r="B552" s="8">
        <v>2704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8"/>
      <c r="N552" s="8"/>
      <c r="O552" s="8"/>
      <c r="P552" s="8"/>
      <c r="Q552" s="8"/>
      <c r="R552" s="8"/>
      <c r="S552" s="8"/>
      <c r="T552" s="8"/>
      <c r="U552" s="18"/>
      <c r="V552" s="18"/>
      <c r="W552" s="18"/>
      <c r="X552" s="18"/>
      <c r="Y552" s="18"/>
      <c r="Z552" s="8"/>
      <c r="AA552" s="18"/>
      <c r="AB552" s="18"/>
      <c r="AC552" s="8">
        <f t="shared" si="31"/>
        <v>0</v>
      </c>
      <c r="AD552" s="18"/>
      <c r="AE552" s="18"/>
      <c r="AF552" s="8"/>
      <c r="AG552" s="18"/>
      <c r="AH552" s="8"/>
      <c r="AI552" s="8"/>
      <c r="AJ552" s="8"/>
      <c r="AK552" s="8">
        <f t="shared" si="29"/>
        <v>0</v>
      </c>
      <c r="AL552" s="8">
        <f t="shared" si="30"/>
        <v>2704</v>
      </c>
      <c r="AM552" s="9"/>
    </row>
    <row r="553" spans="1:39" ht="24.95" customHeight="1">
      <c r="A553" s="20" t="s">
        <v>590</v>
      </c>
      <c r="B553" s="8">
        <v>0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8"/>
      <c r="N553" s="8"/>
      <c r="O553" s="8"/>
      <c r="P553" s="8"/>
      <c r="Q553" s="8"/>
      <c r="R553" s="8"/>
      <c r="S553" s="8"/>
      <c r="T553" s="8"/>
      <c r="U553" s="18"/>
      <c r="V553" s="18"/>
      <c r="W553" s="18"/>
      <c r="X553" s="18"/>
      <c r="Y553" s="18"/>
      <c r="Z553" s="8"/>
      <c r="AA553" s="18"/>
      <c r="AB553" s="18"/>
      <c r="AC553" s="8"/>
      <c r="AD553" s="18"/>
      <c r="AE553" s="18"/>
      <c r="AF553" s="8"/>
      <c r="AG553" s="18"/>
      <c r="AH553" s="8"/>
      <c r="AI553" s="8"/>
      <c r="AJ553" s="8"/>
      <c r="AK553" s="8">
        <f t="shared" si="29"/>
        <v>0</v>
      </c>
      <c r="AL553" s="8">
        <f t="shared" si="30"/>
        <v>0</v>
      </c>
      <c r="AM553" s="9"/>
    </row>
    <row r="554" spans="1:39" ht="24.95" customHeight="1">
      <c r="A554" s="20" t="s">
        <v>591</v>
      </c>
      <c r="B554" s="8">
        <v>26</v>
      </c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8"/>
      <c r="N554" s="8"/>
      <c r="O554" s="8"/>
      <c r="P554" s="8"/>
      <c r="Q554" s="8"/>
      <c r="R554" s="8"/>
      <c r="S554" s="8"/>
      <c r="T554" s="8"/>
      <c r="U554" s="18"/>
      <c r="V554" s="18"/>
      <c r="W554" s="18"/>
      <c r="X554" s="18"/>
      <c r="Y554" s="18"/>
      <c r="Z554" s="8"/>
      <c r="AA554" s="18"/>
      <c r="AB554" s="18"/>
      <c r="AC554" s="8">
        <f t="shared" ref="AC554:AC562" si="32">+AB554</f>
        <v>0</v>
      </c>
      <c r="AD554" s="18"/>
      <c r="AE554" s="18"/>
      <c r="AF554" s="8"/>
      <c r="AG554" s="18"/>
      <c r="AH554" s="8"/>
      <c r="AI554" s="8"/>
      <c r="AJ554" s="8"/>
      <c r="AK554" s="8">
        <f t="shared" si="29"/>
        <v>0</v>
      </c>
      <c r="AL554" s="8">
        <f t="shared" si="30"/>
        <v>26</v>
      </c>
      <c r="AM554" s="9"/>
    </row>
    <row r="555" spans="1:39" ht="24.95" customHeight="1">
      <c r="A555" s="20" t="s">
        <v>592</v>
      </c>
      <c r="B555" s="8">
        <v>0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8"/>
      <c r="N555" s="8"/>
      <c r="O555" s="8"/>
      <c r="P555" s="8"/>
      <c r="Q555" s="8"/>
      <c r="R555" s="8"/>
      <c r="S555" s="8"/>
      <c r="T555" s="8"/>
      <c r="U555" s="18"/>
      <c r="V555" s="18"/>
      <c r="W555" s="18"/>
      <c r="X555" s="18"/>
      <c r="Y555" s="18"/>
      <c r="Z555" s="8"/>
      <c r="AA555" s="18"/>
      <c r="AB555" s="18"/>
      <c r="AC555" s="8">
        <f t="shared" si="32"/>
        <v>0</v>
      </c>
      <c r="AD555" s="18"/>
      <c r="AE555" s="18"/>
      <c r="AF555" s="8"/>
      <c r="AG555" s="18"/>
      <c r="AH555" s="8"/>
      <c r="AI555" s="8"/>
      <c r="AJ555" s="8"/>
      <c r="AK555" s="8">
        <f t="shared" si="29"/>
        <v>0</v>
      </c>
      <c r="AL555" s="8">
        <f t="shared" si="30"/>
        <v>0</v>
      </c>
      <c r="AM555" s="9"/>
    </row>
    <row r="556" spans="1:39" ht="24.95" customHeight="1">
      <c r="A556" s="20" t="s">
        <v>593</v>
      </c>
      <c r="B556" s="8">
        <v>0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8"/>
      <c r="N556" s="8"/>
      <c r="O556" s="8"/>
      <c r="P556" s="8"/>
      <c r="Q556" s="8"/>
      <c r="R556" s="8"/>
      <c r="S556" s="8"/>
      <c r="T556" s="8"/>
      <c r="U556" s="18"/>
      <c r="V556" s="18"/>
      <c r="W556" s="18"/>
      <c r="X556" s="18">
        <f>+Y557*2+Y558*3</f>
        <v>0</v>
      </c>
      <c r="Y556" s="18"/>
      <c r="Z556" s="8"/>
      <c r="AA556" s="18">
        <f>+Z558*3+Z557*2+Z559*4</f>
        <v>0</v>
      </c>
      <c r="AB556" s="18"/>
      <c r="AC556" s="8">
        <f t="shared" si="32"/>
        <v>0</v>
      </c>
      <c r="AD556" s="18"/>
      <c r="AE556" s="18"/>
      <c r="AF556" s="8"/>
      <c r="AG556" s="18"/>
      <c r="AH556" s="8"/>
      <c r="AI556" s="8"/>
      <c r="AJ556" s="8"/>
      <c r="AK556" s="8">
        <f t="shared" si="29"/>
        <v>0</v>
      </c>
      <c r="AL556" s="8">
        <f t="shared" si="30"/>
        <v>0</v>
      </c>
      <c r="AM556" s="9"/>
    </row>
    <row r="557" spans="1:39" ht="24.95" customHeight="1">
      <c r="A557" s="7" t="s">
        <v>594</v>
      </c>
      <c r="B557" s="8">
        <v>926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8"/>
      <c r="N557" s="8"/>
      <c r="O557" s="8"/>
      <c r="P557" s="8"/>
      <c r="Q557" s="8"/>
      <c r="R557" s="8"/>
      <c r="S557" s="8"/>
      <c r="T557" s="8"/>
      <c r="U557" s="18"/>
      <c r="V557" s="18"/>
      <c r="W557" s="18"/>
      <c r="X557" s="18"/>
      <c r="Y557" s="18"/>
      <c r="Z557" s="8"/>
      <c r="AA557" s="18"/>
      <c r="AB557" s="18"/>
      <c r="AC557" s="8">
        <f t="shared" si="32"/>
        <v>0</v>
      </c>
      <c r="AD557" s="18"/>
      <c r="AE557" s="18"/>
      <c r="AF557" s="8"/>
      <c r="AG557" s="18"/>
      <c r="AH557" s="8"/>
      <c r="AI557" s="8"/>
      <c r="AJ557" s="8"/>
      <c r="AK557" s="8">
        <f t="shared" si="29"/>
        <v>0</v>
      </c>
      <c r="AL557" s="8">
        <f t="shared" si="30"/>
        <v>926</v>
      </c>
      <c r="AM557" s="9"/>
    </row>
    <row r="558" spans="1:39" ht="24.95" customHeight="1">
      <c r="A558" s="7" t="s">
        <v>595</v>
      </c>
      <c r="B558" s="8">
        <v>1194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8"/>
      <c r="N558" s="8"/>
      <c r="O558" s="8"/>
      <c r="P558" s="8"/>
      <c r="Q558" s="8"/>
      <c r="R558" s="8"/>
      <c r="S558" s="8"/>
      <c r="T558" s="8"/>
      <c r="U558" s="18"/>
      <c r="V558" s="18"/>
      <c r="W558" s="18"/>
      <c r="X558" s="18"/>
      <c r="Y558" s="18"/>
      <c r="Z558" s="8"/>
      <c r="AA558" s="18"/>
      <c r="AB558" s="18"/>
      <c r="AC558" s="8">
        <f t="shared" si="32"/>
        <v>0</v>
      </c>
      <c r="AD558" s="18"/>
      <c r="AE558" s="18"/>
      <c r="AF558" s="8"/>
      <c r="AG558" s="18"/>
      <c r="AH558" s="8"/>
      <c r="AI558" s="8"/>
      <c r="AJ558" s="8"/>
      <c r="AK558" s="8">
        <f t="shared" si="29"/>
        <v>0</v>
      </c>
      <c r="AL558" s="8">
        <f t="shared" si="30"/>
        <v>1194</v>
      </c>
      <c r="AM558" s="9"/>
    </row>
    <row r="559" spans="1:39" ht="24.95" customHeight="1">
      <c r="A559" s="7" t="s">
        <v>596</v>
      </c>
      <c r="B559" s="8">
        <v>0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8"/>
      <c r="N559" s="8"/>
      <c r="O559" s="8"/>
      <c r="P559" s="8"/>
      <c r="Q559" s="8"/>
      <c r="R559" s="8"/>
      <c r="S559" s="8"/>
      <c r="T559" s="8"/>
      <c r="U559" s="18"/>
      <c r="V559" s="18"/>
      <c r="W559" s="18"/>
      <c r="X559" s="18"/>
      <c r="Y559" s="18"/>
      <c r="Z559" s="8"/>
      <c r="AA559" s="18"/>
      <c r="AB559" s="18"/>
      <c r="AC559" s="8">
        <f t="shared" si="32"/>
        <v>0</v>
      </c>
      <c r="AD559" s="18"/>
      <c r="AE559" s="18"/>
      <c r="AF559" s="8"/>
      <c r="AG559" s="18"/>
      <c r="AH559" s="8"/>
      <c r="AI559" s="8"/>
      <c r="AJ559" s="8"/>
      <c r="AK559" s="8">
        <f t="shared" si="29"/>
        <v>0</v>
      </c>
      <c r="AL559" s="8">
        <f t="shared" si="30"/>
        <v>0</v>
      </c>
      <c r="AM559" s="9"/>
    </row>
    <row r="560" spans="1:39" ht="24.95" customHeight="1">
      <c r="A560" s="20" t="s">
        <v>597</v>
      </c>
      <c r="B560" s="8">
        <v>0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8"/>
      <c r="N560" s="8"/>
      <c r="O560" s="8"/>
      <c r="P560" s="8"/>
      <c r="Q560" s="8"/>
      <c r="R560" s="8"/>
      <c r="S560" s="8"/>
      <c r="T560" s="8"/>
      <c r="U560" s="18"/>
      <c r="V560" s="18"/>
      <c r="W560" s="18"/>
      <c r="X560" s="18"/>
      <c r="Y560" s="18"/>
      <c r="Z560" s="8"/>
      <c r="AA560" s="18"/>
      <c r="AB560" s="18"/>
      <c r="AC560" s="8">
        <f t="shared" si="32"/>
        <v>0</v>
      </c>
      <c r="AD560" s="18"/>
      <c r="AE560" s="18"/>
      <c r="AF560" s="8"/>
      <c r="AG560" s="18"/>
      <c r="AH560" s="8"/>
      <c r="AI560" s="8"/>
      <c r="AJ560" s="8"/>
      <c r="AK560" s="8">
        <f t="shared" si="29"/>
        <v>0</v>
      </c>
      <c r="AL560" s="8">
        <f t="shared" si="30"/>
        <v>0</v>
      </c>
      <c r="AM560" s="9"/>
    </row>
    <row r="561" spans="1:39" ht="24.95" customHeight="1">
      <c r="A561" s="20" t="s">
        <v>598</v>
      </c>
      <c r="B561" s="8">
        <v>2741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8"/>
      <c r="N561" s="8"/>
      <c r="O561" s="8"/>
      <c r="P561" s="8"/>
      <c r="Q561" s="8"/>
      <c r="R561" s="8"/>
      <c r="S561" s="8"/>
      <c r="T561" s="8"/>
      <c r="U561" s="18"/>
      <c r="V561" s="18"/>
      <c r="W561" s="18"/>
      <c r="X561" s="18"/>
      <c r="Y561" s="18"/>
      <c r="Z561" s="8"/>
      <c r="AA561" s="18">
        <f>+Z562*2+Z563*3</f>
        <v>0</v>
      </c>
      <c r="AB561" s="18"/>
      <c r="AC561" s="8">
        <f t="shared" si="32"/>
        <v>0</v>
      </c>
      <c r="AD561" s="18"/>
      <c r="AE561" s="18"/>
      <c r="AF561" s="8"/>
      <c r="AG561" s="18"/>
      <c r="AH561" s="8"/>
      <c r="AI561" s="8"/>
      <c r="AJ561" s="8">
        <v>1</v>
      </c>
      <c r="AK561" s="8">
        <f t="shared" si="29"/>
        <v>-1</v>
      </c>
      <c r="AL561" s="8">
        <f t="shared" si="30"/>
        <v>2740</v>
      </c>
      <c r="AM561" s="9"/>
    </row>
    <row r="562" spans="1:39" ht="24.95" customHeight="1">
      <c r="A562" s="20" t="s">
        <v>599</v>
      </c>
      <c r="B562" s="8">
        <v>80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8"/>
      <c r="N562" s="8"/>
      <c r="O562" s="8"/>
      <c r="P562" s="8"/>
      <c r="Q562" s="8"/>
      <c r="R562" s="8"/>
      <c r="S562" s="8"/>
      <c r="T562" s="8"/>
      <c r="U562" s="18"/>
      <c r="V562" s="18"/>
      <c r="W562" s="18"/>
      <c r="X562" s="18"/>
      <c r="Y562" s="18"/>
      <c r="Z562" s="8"/>
      <c r="AA562" s="18"/>
      <c r="AB562" s="18"/>
      <c r="AC562" s="8">
        <f t="shared" si="32"/>
        <v>0</v>
      </c>
      <c r="AD562" s="18"/>
      <c r="AE562" s="18"/>
      <c r="AF562" s="8"/>
      <c r="AG562" s="18"/>
      <c r="AH562" s="8"/>
      <c r="AI562" s="8"/>
      <c r="AJ562" s="8"/>
      <c r="AK562" s="8">
        <f t="shared" si="29"/>
        <v>0</v>
      </c>
      <c r="AL562" s="8">
        <f t="shared" si="30"/>
        <v>80</v>
      </c>
      <c r="AM562" s="9"/>
    </row>
    <row r="563" spans="1:39" ht="24.95" customHeight="1">
      <c r="A563" s="20" t="s">
        <v>600</v>
      </c>
      <c r="B563" s="8">
        <v>0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8"/>
      <c r="N563" s="8"/>
      <c r="O563" s="8"/>
      <c r="P563" s="8"/>
      <c r="Q563" s="8"/>
      <c r="R563" s="8"/>
      <c r="S563" s="8"/>
      <c r="T563" s="8"/>
      <c r="U563" s="18"/>
      <c r="V563" s="18"/>
      <c r="W563" s="18"/>
      <c r="X563" s="18"/>
      <c r="Y563" s="18"/>
      <c r="Z563" s="8"/>
      <c r="AA563" s="18"/>
      <c r="AB563" s="18"/>
      <c r="AC563" s="8"/>
      <c r="AD563" s="18"/>
      <c r="AE563" s="18"/>
      <c r="AF563" s="8"/>
      <c r="AG563" s="18"/>
      <c r="AH563" s="8"/>
      <c r="AI563" s="8"/>
      <c r="AJ563" s="8"/>
      <c r="AK563" s="8">
        <f t="shared" si="29"/>
        <v>0</v>
      </c>
      <c r="AL563" s="8">
        <f t="shared" si="30"/>
        <v>0</v>
      </c>
      <c r="AM563" s="9"/>
    </row>
    <row r="564" spans="1:39" ht="24.95" customHeight="1">
      <c r="A564" s="20" t="s">
        <v>601</v>
      </c>
      <c r="B564" s="8">
        <v>100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8"/>
      <c r="N564" s="8"/>
      <c r="O564" s="8"/>
      <c r="P564" s="8"/>
      <c r="Q564" s="8"/>
      <c r="R564" s="8"/>
      <c r="S564" s="8"/>
      <c r="T564" s="8"/>
      <c r="U564" s="18"/>
      <c r="V564" s="18"/>
      <c r="W564" s="18"/>
      <c r="X564" s="18"/>
      <c r="Y564" s="18"/>
      <c r="Z564" s="8"/>
      <c r="AA564" s="18"/>
      <c r="AB564" s="18"/>
      <c r="AC564" s="8">
        <f t="shared" ref="AC564:AC585" si="33">+AB564</f>
        <v>0</v>
      </c>
      <c r="AD564" s="18"/>
      <c r="AE564" s="18"/>
      <c r="AF564" s="8"/>
      <c r="AG564" s="18"/>
      <c r="AH564" s="8"/>
      <c r="AI564" s="8"/>
      <c r="AJ564" s="8"/>
      <c r="AK564" s="8">
        <f t="shared" si="29"/>
        <v>0</v>
      </c>
      <c r="AL564" s="8">
        <f t="shared" si="30"/>
        <v>100</v>
      </c>
      <c r="AM564" s="9"/>
    </row>
    <row r="565" spans="1:39" ht="24.95" customHeight="1">
      <c r="A565" s="20" t="s">
        <v>602</v>
      </c>
      <c r="B565" s="8">
        <v>0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8"/>
      <c r="N565" s="8"/>
      <c r="O565" s="8"/>
      <c r="P565" s="8"/>
      <c r="Q565" s="8"/>
      <c r="R565" s="8"/>
      <c r="S565" s="8"/>
      <c r="T565" s="8"/>
      <c r="U565" s="18"/>
      <c r="V565" s="18"/>
      <c r="W565" s="18"/>
      <c r="X565" s="18"/>
      <c r="Y565" s="18"/>
      <c r="Z565" s="8"/>
      <c r="AA565" s="18"/>
      <c r="AB565" s="18"/>
      <c r="AC565" s="8">
        <f t="shared" si="33"/>
        <v>0</v>
      </c>
      <c r="AD565" s="18"/>
      <c r="AE565" s="18"/>
      <c r="AF565" s="8"/>
      <c r="AG565" s="18"/>
      <c r="AH565" s="8"/>
      <c r="AI565" s="8"/>
      <c r="AJ565" s="8"/>
      <c r="AK565" s="8">
        <f t="shared" si="29"/>
        <v>0</v>
      </c>
      <c r="AL565" s="8">
        <f t="shared" si="30"/>
        <v>0</v>
      </c>
      <c r="AM565" s="9"/>
    </row>
    <row r="566" spans="1:39" ht="24.95" customHeight="1">
      <c r="A566" s="20" t="s">
        <v>603</v>
      </c>
      <c r="B566" s="8">
        <v>567</v>
      </c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8"/>
      <c r="N566" s="8"/>
      <c r="O566" s="8"/>
      <c r="P566" s="8"/>
      <c r="Q566" s="8"/>
      <c r="R566" s="8"/>
      <c r="S566" s="8"/>
      <c r="T566" s="8"/>
      <c r="U566" s="18"/>
      <c r="V566" s="18"/>
      <c r="W566" s="18"/>
      <c r="X566" s="18"/>
      <c r="Y566" s="18"/>
      <c r="Z566" s="8"/>
      <c r="AA566" s="18">
        <f>+(Z567*2)+(Z568*3)</f>
        <v>0</v>
      </c>
      <c r="AB566" s="18"/>
      <c r="AC566" s="8">
        <f t="shared" si="33"/>
        <v>0</v>
      </c>
      <c r="AD566" s="18"/>
      <c r="AE566" s="18"/>
      <c r="AF566" s="8"/>
      <c r="AG566" s="18"/>
      <c r="AH566" s="8"/>
      <c r="AI566" s="8"/>
      <c r="AJ566" s="8">
        <v>2</v>
      </c>
      <c r="AK566" s="8">
        <f t="shared" si="29"/>
        <v>-2</v>
      </c>
      <c r="AL566" s="8">
        <f t="shared" si="30"/>
        <v>565</v>
      </c>
      <c r="AM566" s="9"/>
    </row>
    <row r="567" spans="1:39" ht="24.95" customHeight="1">
      <c r="A567" s="7" t="s">
        <v>604</v>
      </c>
      <c r="B567" s="8">
        <v>1389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8"/>
      <c r="N567" s="8"/>
      <c r="O567" s="8"/>
      <c r="P567" s="8"/>
      <c r="Q567" s="8"/>
      <c r="R567" s="8"/>
      <c r="S567" s="8"/>
      <c r="T567" s="8"/>
      <c r="U567" s="18"/>
      <c r="V567" s="18"/>
      <c r="W567" s="18"/>
      <c r="X567" s="18"/>
      <c r="Y567" s="18"/>
      <c r="Z567" s="8"/>
      <c r="AA567" s="18"/>
      <c r="AB567" s="18"/>
      <c r="AC567" s="8">
        <f t="shared" si="33"/>
        <v>0</v>
      </c>
      <c r="AD567" s="18"/>
      <c r="AE567" s="18"/>
      <c r="AF567" s="8"/>
      <c r="AG567" s="18"/>
      <c r="AH567" s="8"/>
      <c r="AI567" s="8"/>
      <c r="AJ567" s="8"/>
      <c r="AK567" s="8">
        <f t="shared" si="29"/>
        <v>0</v>
      </c>
      <c r="AL567" s="8">
        <f t="shared" si="30"/>
        <v>1389</v>
      </c>
      <c r="AM567" s="9"/>
    </row>
    <row r="568" spans="1:39" ht="24.95" customHeight="1">
      <c r="A568" s="7" t="s">
        <v>605</v>
      </c>
      <c r="B568" s="8">
        <v>2308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8"/>
      <c r="N568" s="8"/>
      <c r="O568" s="8"/>
      <c r="P568" s="8"/>
      <c r="Q568" s="8"/>
      <c r="R568" s="8"/>
      <c r="S568" s="8"/>
      <c r="T568" s="8"/>
      <c r="U568" s="18"/>
      <c r="V568" s="18"/>
      <c r="W568" s="18"/>
      <c r="X568" s="18"/>
      <c r="Y568" s="18"/>
      <c r="Z568" s="8"/>
      <c r="AA568" s="18"/>
      <c r="AB568" s="18"/>
      <c r="AC568" s="8">
        <f t="shared" si="33"/>
        <v>0</v>
      </c>
      <c r="AD568" s="18"/>
      <c r="AE568" s="18"/>
      <c r="AF568" s="8"/>
      <c r="AG568" s="18"/>
      <c r="AH568" s="8"/>
      <c r="AI568" s="8"/>
      <c r="AJ568" s="8"/>
      <c r="AK568" s="8">
        <f t="shared" si="29"/>
        <v>0</v>
      </c>
      <c r="AL568" s="8">
        <f t="shared" si="30"/>
        <v>2308</v>
      </c>
      <c r="AM568" s="9"/>
    </row>
    <row r="569" spans="1:39" ht="24.95" customHeight="1">
      <c r="A569" s="20" t="s">
        <v>606</v>
      </c>
      <c r="B569" s="8">
        <v>0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8"/>
      <c r="N569" s="8"/>
      <c r="O569" s="8"/>
      <c r="P569" s="8"/>
      <c r="Q569" s="8"/>
      <c r="R569" s="8"/>
      <c r="S569" s="8"/>
      <c r="T569" s="8"/>
      <c r="U569" s="18"/>
      <c r="V569" s="18"/>
      <c r="W569" s="18"/>
      <c r="X569" s="18"/>
      <c r="Y569" s="18"/>
      <c r="Z569" s="8"/>
      <c r="AA569" s="18"/>
      <c r="AB569" s="18"/>
      <c r="AC569" s="8">
        <f t="shared" si="33"/>
        <v>0</v>
      </c>
      <c r="AD569" s="18"/>
      <c r="AE569" s="18"/>
      <c r="AF569" s="8"/>
      <c r="AG569" s="18"/>
      <c r="AH569" s="8"/>
      <c r="AI569" s="8"/>
      <c r="AJ569" s="8"/>
      <c r="AK569" s="8">
        <f t="shared" si="29"/>
        <v>0</v>
      </c>
      <c r="AL569" s="8">
        <f t="shared" si="30"/>
        <v>0</v>
      </c>
      <c r="AM569" s="9"/>
    </row>
    <row r="570" spans="1:39" ht="24.95" customHeight="1">
      <c r="A570" s="20" t="s">
        <v>607</v>
      </c>
      <c r="B570" s="8">
        <v>0</v>
      </c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8"/>
      <c r="N570" s="8"/>
      <c r="O570" s="8"/>
      <c r="P570" s="8"/>
      <c r="Q570" s="8"/>
      <c r="R570" s="8"/>
      <c r="S570" s="8"/>
      <c r="T570" s="8"/>
      <c r="U570" s="18"/>
      <c r="V570" s="18"/>
      <c r="W570" s="18"/>
      <c r="X570" s="18"/>
      <c r="Y570" s="18"/>
      <c r="Z570" s="8"/>
      <c r="AA570" s="18"/>
      <c r="AB570" s="18"/>
      <c r="AC570" s="8">
        <f t="shared" si="33"/>
        <v>0</v>
      </c>
      <c r="AD570" s="18"/>
      <c r="AE570" s="18"/>
      <c r="AF570" s="8"/>
      <c r="AG570" s="18"/>
      <c r="AH570" s="8"/>
      <c r="AI570" s="8"/>
      <c r="AJ570" s="8"/>
      <c r="AK570" s="8">
        <f t="shared" si="29"/>
        <v>0</v>
      </c>
      <c r="AL570" s="8">
        <f t="shared" si="30"/>
        <v>0</v>
      </c>
      <c r="AM570" s="9"/>
    </row>
    <row r="571" spans="1:39" ht="24.95" customHeight="1">
      <c r="A571" s="20" t="s">
        <v>608</v>
      </c>
      <c r="B571" s="8">
        <v>0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8"/>
      <c r="N571" s="8"/>
      <c r="O571" s="8"/>
      <c r="P571" s="8"/>
      <c r="Q571" s="8"/>
      <c r="R571" s="8"/>
      <c r="S571" s="8"/>
      <c r="T571" s="8"/>
      <c r="U571" s="18"/>
      <c r="V571" s="18"/>
      <c r="W571" s="18"/>
      <c r="X571" s="18"/>
      <c r="Y571" s="18"/>
      <c r="Z571" s="8"/>
      <c r="AA571" s="18"/>
      <c r="AB571" s="18"/>
      <c r="AC571" s="8">
        <f t="shared" si="33"/>
        <v>0</v>
      </c>
      <c r="AD571" s="18"/>
      <c r="AE571" s="18"/>
      <c r="AF571" s="8"/>
      <c r="AG571" s="18"/>
      <c r="AH571" s="8"/>
      <c r="AI571" s="8"/>
      <c r="AJ571" s="8"/>
      <c r="AK571" s="8">
        <f t="shared" si="29"/>
        <v>0</v>
      </c>
      <c r="AL571" s="8">
        <f t="shared" si="30"/>
        <v>0</v>
      </c>
      <c r="AM571" s="9"/>
    </row>
    <row r="572" spans="1:39" ht="24.95" customHeight="1">
      <c r="A572" s="20" t="s">
        <v>609</v>
      </c>
      <c r="B572" s="8">
        <v>1092</v>
      </c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8"/>
      <c r="N572" s="8"/>
      <c r="O572" s="8"/>
      <c r="P572" s="8"/>
      <c r="Q572" s="8"/>
      <c r="R572" s="8"/>
      <c r="S572" s="8"/>
      <c r="T572" s="8"/>
      <c r="U572" s="18"/>
      <c r="V572" s="18"/>
      <c r="W572" s="18"/>
      <c r="X572" s="18"/>
      <c r="Y572" s="18"/>
      <c r="Z572" s="8"/>
      <c r="AA572" s="18">
        <f>+(Z573*2)+(Z574*3)</f>
        <v>0</v>
      </c>
      <c r="AB572" s="18"/>
      <c r="AC572" s="8">
        <f t="shared" si="33"/>
        <v>0</v>
      </c>
      <c r="AD572" s="18"/>
      <c r="AE572" s="18"/>
      <c r="AF572" s="8"/>
      <c r="AG572" s="18"/>
      <c r="AH572" s="8"/>
      <c r="AI572" s="8"/>
      <c r="AJ572" s="8">
        <v>1</v>
      </c>
      <c r="AK572" s="8">
        <f t="shared" si="29"/>
        <v>-1</v>
      </c>
      <c r="AL572" s="8">
        <f t="shared" si="30"/>
        <v>1091</v>
      </c>
      <c r="AM572" s="9"/>
    </row>
    <row r="573" spans="1:39" ht="24.95" customHeight="1">
      <c r="A573" s="7" t="s">
        <v>610</v>
      </c>
      <c r="B573" s="8">
        <v>0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8"/>
      <c r="N573" s="8"/>
      <c r="O573" s="8"/>
      <c r="P573" s="8"/>
      <c r="Q573" s="8"/>
      <c r="R573" s="8"/>
      <c r="S573" s="8"/>
      <c r="T573" s="8"/>
      <c r="U573" s="18"/>
      <c r="V573" s="18"/>
      <c r="W573" s="18"/>
      <c r="X573" s="18"/>
      <c r="Y573" s="18"/>
      <c r="Z573" s="8"/>
      <c r="AA573" s="18"/>
      <c r="AB573" s="18"/>
      <c r="AC573" s="8">
        <f t="shared" si="33"/>
        <v>0</v>
      </c>
      <c r="AD573" s="18"/>
      <c r="AE573" s="18"/>
      <c r="AF573" s="8"/>
      <c r="AG573" s="18"/>
      <c r="AH573" s="8"/>
      <c r="AI573" s="8"/>
      <c r="AJ573" s="8"/>
      <c r="AK573" s="8">
        <f t="shared" si="29"/>
        <v>0</v>
      </c>
      <c r="AL573" s="8">
        <f t="shared" si="30"/>
        <v>0</v>
      </c>
      <c r="AM573" s="9"/>
    </row>
    <row r="574" spans="1:39" ht="24.95" customHeight="1">
      <c r="A574" s="7" t="s">
        <v>611</v>
      </c>
      <c r="B574" s="8">
        <v>0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8"/>
      <c r="N574" s="8"/>
      <c r="O574" s="8"/>
      <c r="P574" s="8"/>
      <c r="Q574" s="8"/>
      <c r="R574" s="8"/>
      <c r="S574" s="8"/>
      <c r="T574" s="8"/>
      <c r="U574" s="18"/>
      <c r="V574" s="18"/>
      <c r="W574" s="18"/>
      <c r="X574" s="18"/>
      <c r="Y574" s="18"/>
      <c r="Z574" s="8"/>
      <c r="AA574" s="18"/>
      <c r="AB574" s="18"/>
      <c r="AC574" s="8">
        <f t="shared" si="33"/>
        <v>0</v>
      </c>
      <c r="AD574" s="18"/>
      <c r="AE574" s="18"/>
      <c r="AF574" s="8"/>
      <c r="AG574" s="18"/>
      <c r="AH574" s="8"/>
      <c r="AI574" s="8"/>
      <c r="AJ574" s="8"/>
      <c r="AK574" s="8">
        <f t="shared" si="29"/>
        <v>0</v>
      </c>
      <c r="AL574" s="8">
        <f t="shared" si="30"/>
        <v>0</v>
      </c>
      <c r="AM574" s="9"/>
    </row>
    <row r="575" spans="1:39" ht="24.95" customHeight="1">
      <c r="A575" s="20" t="s">
        <v>612</v>
      </c>
      <c r="B575" s="8">
        <v>4003</v>
      </c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8"/>
      <c r="N575" s="8"/>
      <c r="O575" s="8"/>
      <c r="P575" s="8"/>
      <c r="Q575" s="8"/>
      <c r="R575" s="8"/>
      <c r="S575" s="8"/>
      <c r="T575" s="8"/>
      <c r="U575" s="18"/>
      <c r="V575" s="18"/>
      <c r="W575" s="18"/>
      <c r="X575" s="18"/>
      <c r="Y575" s="18"/>
      <c r="Z575" s="8"/>
      <c r="AA575" s="18"/>
      <c r="AB575" s="18"/>
      <c r="AC575" s="8">
        <f t="shared" si="33"/>
        <v>0</v>
      </c>
      <c r="AD575" s="18"/>
      <c r="AE575" s="18"/>
      <c r="AF575" s="8"/>
      <c r="AG575" s="18"/>
      <c r="AH575" s="8"/>
      <c r="AI575" s="8"/>
      <c r="AJ575" s="8">
        <v>1</v>
      </c>
      <c r="AK575" s="8">
        <f t="shared" si="29"/>
        <v>-1</v>
      </c>
      <c r="AL575" s="8">
        <f t="shared" si="30"/>
        <v>4002</v>
      </c>
      <c r="AM575" s="9"/>
    </row>
    <row r="576" spans="1:39" ht="24.95" customHeight="1">
      <c r="A576" s="20" t="s">
        <v>613</v>
      </c>
      <c r="B576" s="8">
        <v>73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8"/>
      <c r="N576" s="8"/>
      <c r="O576" s="8"/>
      <c r="P576" s="8"/>
      <c r="Q576" s="8"/>
      <c r="R576" s="8"/>
      <c r="S576" s="8"/>
      <c r="T576" s="8"/>
      <c r="U576" s="18"/>
      <c r="V576" s="18"/>
      <c r="W576" s="18"/>
      <c r="X576" s="18"/>
      <c r="Y576" s="18"/>
      <c r="Z576" s="8"/>
      <c r="AA576" s="18"/>
      <c r="AB576" s="18"/>
      <c r="AC576" s="8">
        <f t="shared" si="33"/>
        <v>0</v>
      </c>
      <c r="AD576" s="18"/>
      <c r="AE576" s="18"/>
      <c r="AF576" s="8"/>
      <c r="AG576" s="18"/>
      <c r="AH576" s="8"/>
      <c r="AI576" s="8"/>
      <c r="AJ576" s="8"/>
      <c r="AK576" s="8">
        <f t="shared" si="29"/>
        <v>0</v>
      </c>
      <c r="AL576" s="8">
        <f t="shared" si="30"/>
        <v>73</v>
      </c>
      <c r="AM576" s="9"/>
    </row>
    <row r="577" spans="1:39" ht="24.95" customHeight="1">
      <c r="A577" s="20" t="s">
        <v>614</v>
      </c>
      <c r="B577" s="8">
        <v>0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8"/>
      <c r="N577" s="8"/>
      <c r="O577" s="8"/>
      <c r="P577" s="8"/>
      <c r="Q577" s="8"/>
      <c r="R577" s="8"/>
      <c r="S577" s="8"/>
      <c r="T577" s="8"/>
      <c r="U577" s="18"/>
      <c r="V577" s="18"/>
      <c r="W577" s="18"/>
      <c r="X577" s="18"/>
      <c r="Y577" s="18"/>
      <c r="Z577" s="8"/>
      <c r="AA577" s="18"/>
      <c r="AB577" s="18"/>
      <c r="AC577" s="8">
        <f t="shared" si="33"/>
        <v>0</v>
      </c>
      <c r="AD577" s="18"/>
      <c r="AE577" s="18"/>
      <c r="AF577" s="8"/>
      <c r="AG577" s="18"/>
      <c r="AH577" s="8"/>
      <c r="AI577" s="8"/>
      <c r="AJ577" s="8"/>
      <c r="AK577" s="8">
        <f t="shared" si="29"/>
        <v>0</v>
      </c>
      <c r="AL577" s="8">
        <f t="shared" si="30"/>
        <v>0</v>
      </c>
      <c r="AM577" s="9"/>
    </row>
    <row r="578" spans="1:39" ht="24.95" customHeight="1">
      <c r="A578" s="20" t="s">
        <v>615</v>
      </c>
      <c r="B578" s="8">
        <v>3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8"/>
      <c r="N578" s="8"/>
      <c r="O578" s="8"/>
      <c r="P578" s="8"/>
      <c r="Q578" s="8"/>
      <c r="R578" s="8"/>
      <c r="S578" s="8"/>
      <c r="T578" s="8"/>
      <c r="U578" s="18"/>
      <c r="V578" s="18"/>
      <c r="W578" s="18"/>
      <c r="X578" s="18"/>
      <c r="Y578" s="18"/>
      <c r="Z578" s="8"/>
      <c r="AA578" s="18"/>
      <c r="AB578" s="18"/>
      <c r="AC578" s="8">
        <f t="shared" si="33"/>
        <v>0</v>
      </c>
      <c r="AD578" s="18"/>
      <c r="AE578" s="18"/>
      <c r="AF578" s="8"/>
      <c r="AG578" s="18"/>
      <c r="AH578" s="8"/>
      <c r="AI578" s="8"/>
      <c r="AJ578" s="8"/>
      <c r="AK578" s="8">
        <f t="shared" si="29"/>
        <v>0</v>
      </c>
      <c r="AL578" s="8">
        <f t="shared" si="30"/>
        <v>3</v>
      </c>
      <c r="AM578" s="9"/>
    </row>
    <row r="579" spans="1:39" ht="24.95" customHeight="1">
      <c r="A579" s="20" t="s">
        <v>616</v>
      </c>
      <c r="B579" s="8">
        <v>9635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8"/>
      <c r="N579" s="8"/>
      <c r="O579" s="8"/>
      <c r="P579" s="8"/>
      <c r="Q579" s="8"/>
      <c r="R579" s="8"/>
      <c r="S579" s="8"/>
      <c r="T579" s="8"/>
      <c r="U579" s="18"/>
      <c r="V579" s="18"/>
      <c r="W579" s="18"/>
      <c r="X579" s="18"/>
      <c r="Y579" s="18"/>
      <c r="Z579" s="8"/>
      <c r="AA579" s="18">
        <f>+Z580*2</f>
        <v>0</v>
      </c>
      <c r="AB579" s="18"/>
      <c r="AC579" s="8">
        <f t="shared" si="33"/>
        <v>0</v>
      </c>
      <c r="AD579" s="18"/>
      <c r="AE579" s="18"/>
      <c r="AF579" s="8"/>
      <c r="AG579" s="18"/>
      <c r="AH579" s="8"/>
      <c r="AI579" s="8"/>
      <c r="AJ579" s="8">
        <v>30</v>
      </c>
      <c r="AK579" s="8">
        <f t="shared" si="29"/>
        <v>-30</v>
      </c>
      <c r="AL579" s="8">
        <f t="shared" si="30"/>
        <v>9605</v>
      </c>
      <c r="AM579" s="9"/>
    </row>
    <row r="580" spans="1:39" ht="24.95" customHeight="1">
      <c r="A580" s="10" t="s">
        <v>617</v>
      </c>
      <c r="B580" s="8">
        <v>0</v>
      </c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8"/>
      <c r="N580" s="8"/>
      <c r="O580" s="8"/>
      <c r="P580" s="8"/>
      <c r="Q580" s="8"/>
      <c r="R580" s="8"/>
      <c r="S580" s="8"/>
      <c r="T580" s="8"/>
      <c r="U580" s="18"/>
      <c r="V580" s="18"/>
      <c r="W580" s="18"/>
      <c r="X580" s="18"/>
      <c r="Y580" s="18"/>
      <c r="Z580" s="8"/>
      <c r="AA580" s="18"/>
      <c r="AB580" s="18"/>
      <c r="AC580" s="8">
        <f t="shared" si="33"/>
        <v>0</v>
      </c>
      <c r="AD580" s="18"/>
      <c r="AE580" s="18"/>
      <c r="AF580" s="8"/>
      <c r="AG580" s="18"/>
      <c r="AH580" s="8"/>
      <c r="AI580" s="8"/>
      <c r="AJ580" s="8"/>
      <c r="AK580" s="8">
        <f t="shared" si="29"/>
        <v>0</v>
      </c>
      <c r="AL580" s="8">
        <f t="shared" si="30"/>
        <v>0</v>
      </c>
      <c r="AM580" s="9"/>
    </row>
    <row r="581" spans="1:39" ht="24.95" customHeight="1">
      <c r="A581" s="20" t="s">
        <v>618</v>
      </c>
      <c r="B581" s="8">
        <v>4557</v>
      </c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8"/>
      <c r="N581" s="8"/>
      <c r="O581" s="8"/>
      <c r="P581" s="8"/>
      <c r="Q581" s="8"/>
      <c r="R581" s="8"/>
      <c r="S581" s="8"/>
      <c r="T581" s="8"/>
      <c r="U581" s="18"/>
      <c r="V581" s="18"/>
      <c r="W581" s="18"/>
      <c r="X581" s="18"/>
      <c r="Y581" s="18"/>
      <c r="Z581" s="8"/>
      <c r="AA581" s="18">
        <f>+Z582*2</f>
        <v>0</v>
      </c>
      <c r="AB581" s="18"/>
      <c r="AC581" s="8">
        <f t="shared" si="33"/>
        <v>0</v>
      </c>
      <c r="AD581" s="18"/>
      <c r="AE581" s="18"/>
      <c r="AF581" s="8"/>
      <c r="AG581" s="18"/>
      <c r="AH581" s="8"/>
      <c r="AI581" s="8"/>
      <c r="AJ581" s="8">
        <v>299</v>
      </c>
      <c r="AK581" s="8">
        <f t="shared" si="29"/>
        <v>-299</v>
      </c>
      <c r="AL581" s="8">
        <f t="shared" si="30"/>
        <v>4258</v>
      </c>
      <c r="AM581" s="9"/>
    </row>
    <row r="582" spans="1:39" ht="24.95" customHeight="1">
      <c r="A582" s="20" t="s">
        <v>619</v>
      </c>
      <c r="B582" s="8">
        <v>284</v>
      </c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8"/>
      <c r="N582" s="8"/>
      <c r="O582" s="8"/>
      <c r="P582" s="8"/>
      <c r="Q582" s="8"/>
      <c r="R582" s="8"/>
      <c r="S582" s="8"/>
      <c r="T582" s="8"/>
      <c r="U582" s="18"/>
      <c r="V582" s="18"/>
      <c r="W582" s="18"/>
      <c r="X582" s="18"/>
      <c r="Y582" s="18"/>
      <c r="Z582" s="8"/>
      <c r="AA582" s="18"/>
      <c r="AB582" s="18"/>
      <c r="AC582" s="8">
        <f t="shared" si="33"/>
        <v>0</v>
      </c>
      <c r="AD582" s="18"/>
      <c r="AE582" s="18"/>
      <c r="AF582" s="8"/>
      <c r="AG582" s="18"/>
      <c r="AH582" s="8"/>
      <c r="AI582" s="8"/>
      <c r="AJ582" s="8"/>
      <c r="AK582" s="8">
        <f t="shared" si="29"/>
        <v>0</v>
      </c>
      <c r="AL582" s="8">
        <f t="shared" si="30"/>
        <v>284</v>
      </c>
      <c r="AM582" s="9"/>
    </row>
    <row r="583" spans="1:39" ht="24.95" customHeight="1">
      <c r="A583" s="20" t="s">
        <v>620</v>
      </c>
      <c r="B583" s="8">
        <v>0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8"/>
      <c r="N583" s="8"/>
      <c r="O583" s="8"/>
      <c r="P583" s="8"/>
      <c r="Q583" s="8"/>
      <c r="R583" s="8"/>
      <c r="S583" s="8"/>
      <c r="T583" s="8"/>
      <c r="U583" s="18"/>
      <c r="V583" s="18"/>
      <c r="W583" s="18"/>
      <c r="X583" s="18"/>
      <c r="Y583" s="18"/>
      <c r="Z583" s="8"/>
      <c r="AA583" s="18"/>
      <c r="AB583" s="18"/>
      <c r="AC583" s="8">
        <f t="shared" si="33"/>
        <v>0</v>
      </c>
      <c r="AD583" s="18"/>
      <c r="AE583" s="18"/>
      <c r="AF583" s="8"/>
      <c r="AG583" s="18"/>
      <c r="AH583" s="8"/>
      <c r="AI583" s="8"/>
      <c r="AJ583" s="8"/>
      <c r="AK583" s="8">
        <f t="shared" si="29"/>
        <v>0</v>
      </c>
      <c r="AL583" s="8">
        <f t="shared" si="30"/>
        <v>0</v>
      </c>
      <c r="AM583" s="9"/>
    </row>
    <row r="584" spans="1:39" ht="24.95" customHeight="1">
      <c r="A584" s="20" t="s">
        <v>621</v>
      </c>
      <c r="B584" s="8">
        <v>2134</v>
      </c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8"/>
      <c r="N584" s="8"/>
      <c r="O584" s="8"/>
      <c r="P584" s="8"/>
      <c r="Q584" s="8"/>
      <c r="R584" s="8"/>
      <c r="S584" s="8"/>
      <c r="T584" s="8"/>
      <c r="U584" s="18"/>
      <c r="V584" s="18"/>
      <c r="W584" s="18"/>
      <c r="X584" s="18"/>
      <c r="Y584" s="18"/>
      <c r="Z584" s="8"/>
      <c r="AA584" s="18">
        <f>+Z585*2+Z586*3</f>
        <v>0</v>
      </c>
      <c r="AB584" s="18"/>
      <c r="AC584" s="8">
        <f t="shared" si="33"/>
        <v>0</v>
      </c>
      <c r="AD584" s="18"/>
      <c r="AE584" s="18"/>
      <c r="AF584" s="8"/>
      <c r="AG584" s="18"/>
      <c r="AH584" s="8"/>
      <c r="AI584" s="8"/>
      <c r="AJ584" s="8">
        <v>5</v>
      </c>
      <c r="AK584" s="8">
        <f t="shared" si="29"/>
        <v>-5</v>
      </c>
      <c r="AL584" s="8">
        <f t="shared" si="30"/>
        <v>2129</v>
      </c>
      <c r="AM584" s="9"/>
    </row>
    <row r="585" spans="1:39" ht="24.95" customHeight="1">
      <c r="A585" s="20" t="s">
        <v>622</v>
      </c>
      <c r="B585" s="8">
        <v>0</v>
      </c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8"/>
      <c r="N585" s="8"/>
      <c r="O585" s="8"/>
      <c r="P585" s="8"/>
      <c r="Q585" s="8"/>
      <c r="R585" s="8"/>
      <c r="S585" s="8"/>
      <c r="T585" s="8"/>
      <c r="U585" s="18"/>
      <c r="V585" s="18"/>
      <c r="W585" s="18"/>
      <c r="X585" s="18"/>
      <c r="Y585" s="18"/>
      <c r="Z585" s="8"/>
      <c r="AA585" s="18"/>
      <c r="AB585" s="18"/>
      <c r="AC585" s="8">
        <f t="shared" si="33"/>
        <v>0</v>
      </c>
      <c r="AD585" s="18"/>
      <c r="AE585" s="18"/>
      <c r="AF585" s="8"/>
      <c r="AG585" s="18"/>
      <c r="AH585" s="8"/>
      <c r="AI585" s="8"/>
      <c r="AJ585" s="8"/>
      <c r="AK585" s="8">
        <f t="shared" si="29"/>
        <v>0</v>
      </c>
      <c r="AL585" s="8">
        <f t="shared" si="30"/>
        <v>0</v>
      </c>
      <c r="AM585" s="9"/>
    </row>
    <row r="586" spans="1:39" ht="24.95" customHeight="1">
      <c r="A586" s="20" t="s">
        <v>623</v>
      </c>
      <c r="B586" s="8">
        <v>0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8"/>
      <c r="N586" s="8"/>
      <c r="O586" s="8"/>
      <c r="P586" s="8"/>
      <c r="Q586" s="8"/>
      <c r="R586" s="8"/>
      <c r="S586" s="8"/>
      <c r="T586" s="8"/>
      <c r="U586" s="18"/>
      <c r="V586" s="18"/>
      <c r="W586" s="18"/>
      <c r="X586" s="18"/>
      <c r="Y586" s="18"/>
      <c r="Z586" s="8"/>
      <c r="AA586" s="18"/>
      <c r="AB586" s="18"/>
      <c r="AC586" s="8"/>
      <c r="AD586" s="18"/>
      <c r="AE586" s="18"/>
      <c r="AF586" s="8"/>
      <c r="AG586" s="18"/>
      <c r="AH586" s="8"/>
      <c r="AI586" s="8"/>
      <c r="AJ586" s="8"/>
      <c r="AK586" s="8">
        <f t="shared" si="29"/>
        <v>0</v>
      </c>
      <c r="AL586" s="8">
        <f t="shared" si="30"/>
        <v>0</v>
      </c>
      <c r="AM586" s="9"/>
    </row>
    <row r="587" spans="1:39" ht="24.95" customHeight="1">
      <c r="A587" s="20" t="s">
        <v>624</v>
      </c>
      <c r="B587" s="8">
        <v>12</v>
      </c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8"/>
      <c r="N587" s="8"/>
      <c r="O587" s="8"/>
      <c r="P587" s="8"/>
      <c r="Q587" s="8"/>
      <c r="R587" s="8"/>
      <c r="S587" s="8"/>
      <c r="T587" s="8"/>
      <c r="U587" s="18"/>
      <c r="V587" s="18"/>
      <c r="W587" s="18"/>
      <c r="X587" s="18"/>
      <c r="Y587" s="18"/>
      <c r="Z587" s="8"/>
      <c r="AA587" s="18"/>
      <c r="AB587" s="18"/>
      <c r="AC587" s="8">
        <f>+AB587</f>
        <v>0</v>
      </c>
      <c r="AD587" s="18"/>
      <c r="AE587" s="18"/>
      <c r="AF587" s="8"/>
      <c r="AG587" s="18"/>
      <c r="AH587" s="8"/>
      <c r="AI587" s="8"/>
      <c r="AJ587" s="8"/>
      <c r="AK587" s="8">
        <f t="shared" si="29"/>
        <v>0</v>
      </c>
      <c r="AL587" s="8">
        <f t="shared" si="30"/>
        <v>12</v>
      </c>
      <c r="AM587" s="9"/>
    </row>
    <row r="588" spans="1:39" ht="24.95" customHeight="1">
      <c r="A588" s="20" t="s">
        <v>625</v>
      </c>
      <c r="B588" s="8">
        <v>0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8"/>
      <c r="N588" s="8"/>
      <c r="O588" s="8"/>
      <c r="P588" s="8"/>
      <c r="Q588" s="8"/>
      <c r="R588" s="8"/>
      <c r="S588" s="8"/>
      <c r="T588" s="8"/>
      <c r="U588" s="18"/>
      <c r="V588" s="18"/>
      <c r="W588" s="18"/>
      <c r="X588" s="18">
        <f>+Y589*2+Y590*3</f>
        <v>0</v>
      </c>
      <c r="Y588" s="18"/>
      <c r="Z588" s="8"/>
      <c r="AA588" s="18">
        <f>+Z589*2+Z590*3</f>
        <v>0</v>
      </c>
      <c r="AB588" s="18"/>
      <c r="AC588" s="8">
        <f>+AB588</f>
        <v>0</v>
      </c>
      <c r="AD588" s="18"/>
      <c r="AE588" s="18"/>
      <c r="AF588" s="8"/>
      <c r="AG588" s="18"/>
      <c r="AH588" s="8"/>
      <c r="AI588" s="8"/>
      <c r="AJ588" s="8"/>
      <c r="AK588" s="8">
        <f t="shared" si="29"/>
        <v>0</v>
      </c>
      <c r="AL588" s="8">
        <f t="shared" si="30"/>
        <v>0</v>
      </c>
      <c r="AM588" s="9"/>
    </row>
    <row r="589" spans="1:39" ht="24.95" customHeight="1">
      <c r="A589" s="10" t="s">
        <v>626</v>
      </c>
      <c r="B589" s="8">
        <v>0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8"/>
      <c r="N589" s="8"/>
      <c r="O589" s="8"/>
      <c r="P589" s="8"/>
      <c r="Q589" s="8"/>
      <c r="R589" s="8"/>
      <c r="S589" s="8"/>
      <c r="T589" s="8"/>
      <c r="U589" s="18"/>
      <c r="V589" s="18"/>
      <c r="W589" s="18"/>
      <c r="X589" s="18"/>
      <c r="Y589" s="18"/>
      <c r="Z589" s="8"/>
      <c r="AA589" s="18"/>
      <c r="AB589" s="18"/>
      <c r="AC589" s="8">
        <f>+AB589</f>
        <v>0</v>
      </c>
      <c r="AD589" s="18"/>
      <c r="AE589" s="18"/>
      <c r="AF589" s="8"/>
      <c r="AG589" s="18"/>
      <c r="AH589" s="8"/>
      <c r="AI589" s="8"/>
      <c r="AJ589" s="8"/>
      <c r="AK589" s="8">
        <f t="shared" ref="AK589:AK658" si="34">SUM((D589+P589+G589+L589+S589+X589+Z589+AD589+M589+J589+V589+AB589+F589+AG589+O589+AI589)+(-N589-E589-R589-Q589-T589-Y589-AA589-AE589-AJ589-K589-I589-H589-U589-AC589-AF589-AH589-W589))</f>
        <v>0</v>
      </c>
      <c r="AL589" s="8">
        <f t="shared" ref="AL589:AL658" si="35">B589+AK589</f>
        <v>0</v>
      </c>
      <c r="AM589" s="9"/>
    </row>
    <row r="590" spans="1:39" ht="24.95" customHeight="1">
      <c r="A590" s="25" t="s">
        <v>627</v>
      </c>
      <c r="B590" s="8">
        <v>0</v>
      </c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8"/>
      <c r="N590" s="8"/>
      <c r="O590" s="8"/>
      <c r="P590" s="8"/>
      <c r="Q590" s="8"/>
      <c r="R590" s="8"/>
      <c r="S590" s="8"/>
      <c r="T590" s="8"/>
      <c r="U590" s="18"/>
      <c r="V590" s="18"/>
      <c r="W590" s="18"/>
      <c r="X590" s="18"/>
      <c r="Y590" s="18"/>
      <c r="Z590" s="8"/>
      <c r="AA590" s="18"/>
      <c r="AB590" s="18"/>
      <c r="AC590" s="8"/>
      <c r="AD590" s="18"/>
      <c r="AE590" s="18"/>
      <c r="AF590" s="8"/>
      <c r="AG590" s="18"/>
      <c r="AH590" s="8"/>
      <c r="AI590" s="8"/>
      <c r="AJ590" s="8"/>
      <c r="AK590" s="8">
        <f t="shared" si="34"/>
        <v>0</v>
      </c>
      <c r="AL590" s="8">
        <f t="shared" si="35"/>
        <v>0</v>
      </c>
      <c r="AM590" s="9"/>
    </row>
    <row r="591" spans="1:39" ht="24.95" customHeight="1">
      <c r="A591" s="25" t="s">
        <v>628</v>
      </c>
      <c r="B591" s="8">
        <v>0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8"/>
      <c r="N591" s="8"/>
      <c r="O591" s="8"/>
      <c r="P591" s="8"/>
      <c r="Q591" s="8"/>
      <c r="R591" s="8"/>
      <c r="S591" s="8"/>
      <c r="T591" s="8"/>
      <c r="U591" s="18"/>
      <c r="V591" s="18"/>
      <c r="W591" s="18"/>
      <c r="X591" s="18">
        <f>+Y592*2+Y593*3</f>
        <v>0</v>
      </c>
      <c r="Y591" s="18"/>
      <c r="Z591" s="8"/>
      <c r="AA591" s="18"/>
      <c r="AB591" s="18"/>
      <c r="AC591" s="8"/>
      <c r="AD591" s="18"/>
      <c r="AE591" s="18"/>
      <c r="AF591" s="8"/>
      <c r="AG591" s="18"/>
      <c r="AH591" s="8"/>
      <c r="AI591" s="8"/>
      <c r="AJ591" s="8"/>
      <c r="AK591" s="8">
        <f t="shared" si="34"/>
        <v>0</v>
      </c>
      <c r="AL591" s="8">
        <f t="shared" si="35"/>
        <v>0</v>
      </c>
      <c r="AM591" s="9"/>
    </row>
    <row r="592" spans="1:39" ht="24.95" customHeight="1">
      <c r="A592" s="25" t="s">
        <v>629</v>
      </c>
      <c r="B592" s="8">
        <v>0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8"/>
      <c r="N592" s="8"/>
      <c r="O592" s="8"/>
      <c r="P592" s="8"/>
      <c r="Q592" s="8"/>
      <c r="R592" s="8"/>
      <c r="S592" s="8"/>
      <c r="T592" s="8"/>
      <c r="U592" s="18"/>
      <c r="V592" s="18"/>
      <c r="W592" s="18"/>
      <c r="X592" s="18"/>
      <c r="Y592" s="18"/>
      <c r="Z592" s="8"/>
      <c r="AA592" s="18"/>
      <c r="AB592" s="18"/>
      <c r="AC592" s="8"/>
      <c r="AD592" s="18"/>
      <c r="AE592" s="18"/>
      <c r="AF592" s="8"/>
      <c r="AG592" s="18"/>
      <c r="AH592" s="8"/>
      <c r="AI592" s="8"/>
      <c r="AJ592" s="8"/>
      <c r="AK592" s="8">
        <f t="shared" si="34"/>
        <v>0</v>
      </c>
      <c r="AL592" s="8">
        <f t="shared" si="35"/>
        <v>0</v>
      </c>
      <c r="AM592" s="9"/>
    </row>
    <row r="593" spans="1:39" ht="24.95" customHeight="1">
      <c r="A593" s="25" t="s">
        <v>630</v>
      </c>
      <c r="B593" s="8">
        <v>0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8"/>
      <c r="N593" s="8"/>
      <c r="O593" s="8"/>
      <c r="P593" s="8"/>
      <c r="Q593" s="8"/>
      <c r="R593" s="8"/>
      <c r="S593" s="8"/>
      <c r="T593" s="8"/>
      <c r="U593" s="18"/>
      <c r="V593" s="18"/>
      <c r="W593" s="18"/>
      <c r="X593" s="18"/>
      <c r="Y593" s="18"/>
      <c r="Z593" s="8"/>
      <c r="AA593" s="18"/>
      <c r="AB593" s="18"/>
      <c r="AC593" s="8"/>
      <c r="AD593" s="18"/>
      <c r="AE593" s="18"/>
      <c r="AF593" s="8"/>
      <c r="AG593" s="18"/>
      <c r="AH593" s="8"/>
      <c r="AI593" s="8"/>
      <c r="AJ593" s="8"/>
      <c r="AK593" s="8">
        <f t="shared" si="34"/>
        <v>0</v>
      </c>
      <c r="AL593" s="8">
        <f t="shared" si="35"/>
        <v>0</v>
      </c>
      <c r="AM593" s="9"/>
    </row>
    <row r="594" spans="1:39" ht="24.95" customHeight="1">
      <c r="A594" s="17" t="s">
        <v>631</v>
      </c>
      <c r="B594" s="8">
        <v>4</v>
      </c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8"/>
      <c r="N594" s="8"/>
      <c r="O594" s="8"/>
      <c r="P594" s="8"/>
      <c r="Q594" s="8"/>
      <c r="R594" s="8"/>
      <c r="S594" s="8"/>
      <c r="T594" s="8"/>
      <c r="U594" s="18"/>
      <c r="V594" s="18"/>
      <c r="W594" s="18"/>
      <c r="X594" s="18"/>
      <c r="Y594" s="18"/>
      <c r="Z594" s="8"/>
      <c r="AA594" s="18"/>
      <c r="AB594" s="18"/>
      <c r="AC594" s="8">
        <f t="shared" ref="AC594:AC603" si="36">+AB594</f>
        <v>0</v>
      </c>
      <c r="AD594" s="18"/>
      <c r="AE594" s="18"/>
      <c r="AF594" s="8"/>
      <c r="AG594" s="18"/>
      <c r="AH594" s="8"/>
      <c r="AI594" s="8"/>
      <c r="AJ594" s="8"/>
      <c r="AK594" s="8">
        <f t="shared" si="34"/>
        <v>0</v>
      </c>
      <c r="AL594" s="8">
        <f t="shared" si="35"/>
        <v>4</v>
      </c>
      <c r="AM594" s="9"/>
    </row>
    <row r="595" spans="1:39" ht="24.95" customHeight="1">
      <c r="A595" s="17" t="s">
        <v>632</v>
      </c>
      <c r="B595" s="8">
        <v>3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8"/>
      <c r="N595" s="8"/>
      <c r="O595" s="8"/>
      <c r="P595" s="8"/>
      <c r="Q595" s="8"/>
      <c r="R595" s="8"/>
      <c r="S595" s="8"/>
      <c r="T595" s="8"/>
      <c r="U595" s="18"/>
      <c r="V595" s="18"/>
      <c r="W595" s="18"/>
      <c r="X595" s="18"/>
      <c r="Y595" s="18"/>
      <c r="Z595" s="8"/>
      <c r="AA595" s="18"/>
      <c r="AB595" s="18"/>
      <c r="AC595" s="8">
        <f t="shared" si="36"/>
        <v>0</v>
      </c>
      <c r="AD595" s="18"/>
      <c r="AE595" s="18"/>
      <c r="AF595" s="8"/>
      <c r="AG595" s="18"/>
      <c r="AH595" s="8"/>
      <c r="AI595" s="8"/>
      <c r="AJ595" s="8"/>
      <c r="AK595" s="8">
        <f t="shared" si="34"/>
        <v>0</v>
      </c>
      <c r="AL595" s="8">
        <f t="shared" si="35"/>
        <v>3</v>
      </c>
      <c r="AM595" s="9"/>
    </row>
    <row r="596" spans="1:39" ht="24.95" customHeight="1">
      <c r="A596" s="17" t="s">
        <v>633</v>
      </c>
      <c r="B596" s="8">
        <v>2</v>
      </c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8"/>
      <c r="N596" s="8"/>
      <c r="O596" s="8"/>
      <c r="P596" s="8"/>
      <c r="Q596" s="8"/>
      <c r="R596" s="8"/>
      <c r="S596" s="8"/>
      <c r="T596" s="8"/>
      <c r="U596" s="18"/>
      <c r="V596" s="18"/>
      <c r="W596" s="18"/>
      <c r="X596" s="18"/>
      <c r="Y596" s="18"/>
      <c r="Z596" s="8"/>
      <c r="AA596" s="18"/>
      <c r="AB596" s="18"/>
      <c r="AC596" s="8">
        <f t="shared" si="36"/>
        <v>0</v>
      </c>
      <c r="AD596" s="18"/>
      <c r="AE596" s="18"/>
      <c r="AF596" s="8"/>
      <c r="AG596" s="18"/>
      <c r="AH596" s="8"/>
      <c r="AI596" s="8"/>
      <c r="AJ596" s="8"/>
      <c r="AK596" s="8">
        <f t="shared" si="34"/>
        <v>0</v>
      </c>
      <c r="AL596" s="8">
        <f t="shared" si="35"/>
        <v>2</v>
      </c>
      <c r="AM596" s="9"/>
    </row>
    <row r="597" spans="1:39" ht="24.95" customHeight="1">
      <c r="A597" s="17" t="s">
        <v>634</v>
      </c>
      <c r="B597" s="8">
        <v>69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8"/>
      <c r="N597" s="8"/>
      <c r="O597" s="8"/>
      <c r="P597" s="8"/>
      <c r="Q597" s="8"/>
      <c r="R597" s="8"/>
      <c r="S597" s="8"/>
      <c r="T597" s="8"/>
      <c r="U597" s="18"/>
      <c r="V597" s="18"/>
      <c r="W597" s="18"/>
      <c r="X597" s="18"/>
      <c r="Y597" s="18"/>
      <c r="Z597" s="8"/>
      <c r="AA597" s="18"/>
      <c r="AB597" s="18"/>
      <c r="AC597" s="8">
        <f t="shared" si="36"/>
        <v>0</v>
      </c>
      <c r="AD597" s="18"/>
      <c r="AE597" s="18"/>
      <c r="AF597" s="8"/>
      <c r="AG597" s="18"/>
      <c r="AH597" s="8"/>
      <c r="AI597" s="8"/>
      <c r="AJ597" s="8"/>
      <c r="AK597" s="8">
        <f t="shared" si="34"/>
        <v>0</v>
      </c>
      <c r="AL597" s="8">
        <f t="shared" si="35"/>
        <v>69</v>
      </c>
      <c r="AM597" s="9"/>
    </row>
    <row r="598" spans="1:39" ht="24.95" customHeight="1">
      <c r="A598" s="17" t="s">
        <v>635</v>
      </c>
      <c r="B598" s="8">
        <v>14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8"/>
      <c r="N598" s="8"/>
      <c r="O598" s="8"/>
      <c r="P598" s="8"/>
      <c r="Q598" s="8"/>
      <c r="R598" s="8"/>
      <c r="S598" s="8"/>
      <c r="T598" s="8"/>
      <c r="U598" s="18"/>
      <c r="V598" s="18"/>
      <c r="W598" s="18"/>
      <c r="X598" s="18"/>
      <c r="Y598" s="18"/>
      <c r="Z598" s="8"/>
      <c r="AA598" s="18"/>
      <c r="AB598" s="18"/>
      <c r="AC598" s="8">
        <f t="shared" si="36"/>
        <v>0</v>
      </c>
      <c r="AD598" s="18"/>
      <c r="AE598" s="18"/>
      <c r="AF598" s="8"/>
      <c r="AG598" s="18"/>
      <c r="AH598" s="8"/>
      <c r="AI598" s="8"/>
      <c r="AJ598" s="8"/>
      <c r="AK598" s="8">
        <f t="shared" si="34"/>
        <v>0</v>
      </c>
      <c r="AL598" s="8">
        <f t="shared" si="35"/>
        <v>14</v>
      </c>
      <c r="AM598" s="9"/>
    </row>
    <row r="599" spans="1:39" ht="24.95" customHeight="1">
      <c r="A599" s="17" t="s">
        <v>636</v>
      </c>
      <c r="B599" s="8">
        <v>0</v>
      </c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8"/>
      <c r="N599" s="8"/>
      <c r="O599" s="8"/>
      <c r="P599" s="8"/>
      <c r="Q599" s="8"/>
      <c r="R599" s="8"/>
      <c r="S599" s="8"/>
      <c r="T599" s="8"/>
      <c r="U599" s="18"/>
      <c r="V599" s="18"/>
      <c r="W599" s="18"/>
      <c r="X599" s="18"/>
      <c r="Y599" s="18"/>
      <c r="Z599" s="8"/>
      <c r="AA599" s="18">
        <f>+Z600*2</f>
        <v>0</v>
      </c>
      <c r="AB599" s="18"/>
      <c r="AC599" s="8">
        <f t="shared" si="36"/>
        <v>0</v>
      </c>
      <c r="AD599" s="18"/>
      <c r="AE599" s="18"/>
      <c r="AF599" s="8"/>
      <c r="AG599" s="18"/>
      <c r="AH599" s="8"/>
      <c r="AI599" s="8"/>
      <c r="AJ599" s="8"/>
      <c r="AK599" s="8">
        <f t="shared" si="34"/>
        <v>0</v>
      </c>
      <c r="AL599" s="8">
        <f t="shared" si="35"/>
        <v>0</v>
      </c>
      <c r="AM599" s="9"/>
    </row>
    <row r="600" spans="1:39" ht="24.95" customHeight="1">
      <c r="A600" s="17" t="s">
        <v>637</v>
      </c>
      <c r="B600" s="8">
        <v>0</v>
      </c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8"/>
      <c r="N600" s="8"/>
      <c r="O600" s="8"/>
      <c r="P600" s="8"/>
      <c r="Q600" s="8"/>
      <c r="R600" s="8"/>
      <c r="S600" s="8"/>
      <c r="T600" s="8"/>
      <c r="U600" s="18"/>
      <c r="V600" s="18"/>
      <c r="W600" s="18"/>
      <c r="X600" s="18"/>
      <c r="Y600" s="18"/>
      <c r="Z600" s="8"/>
      <c r="AA600" s="18"/>
      <c r="AB600" s="18"/>
      <c r="AC600" s="8">
        <f t="shared" si="36"/>
        <v>0</v>
      </c>
      <c r="AD600" s="18"/>
      <c r="AE600" s="18"/>
      <c r="AF600" s="8"/>
      <c r="AG600" s="18"/>
      <c r="AH600" s="8"/>
      <c r="AI600" s="8"/>
      <c r="AJ600" s="8"/>
      <c r="AK600" s="8">
        <f t="shared" si="34"/>
        <v>0</v>
      </c>
      <c r="AL600" s="8">
        <f t="shared" si="35"/>
        <v>0</v>
      </c>
      <c r="AM600" s="9"/>
    </row>
    <row r="601" spans="1:39" ht="24.95" customHeight="1">
      <c r="A601" s="17" t="s">
        <v>638</v>
      </c>
      <c r="B601" s="8">
        <v>1203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8"/>
      <c r="N601" s="8"/>
      <c r="O601" s="8"/>
      <c r="P601" s="8"/>
      <c r="Q601" s="8"/>
      <c r="R601" s="8"/>
      <c r="S601" s="8"/>
      <c r="T601" s="8"/>
      <c r="U601" s="18"/>
      <c r="V601" s="18"/>
      <c r="W601" s="18"/>
      <c r="X601" s="18"/>
      <c r="Y601" s="18"/>
      <c r="Z601" s="8"/>
      <c r="AA601" s="18">
        <f>+Z602*2</f>
        <v>0</v>
      </c>
      <c r="AB601" s="18"/>
      <c r="AC601" s="8">
        <f t="shared" si="36"/>
        <v>0</v>
      </c>
      <c r="AD601" s="18"/>
      <c r="AE601" s="18"/>
      <c r="AF601" s="8"/>
      <c r="AG601" s="18"/>
      <c r="AH601" s="8"/>
      <c r="AI601" s="8"/>
      <c r="AJ601" s="8"/>
      <c r="AK601" s="8">
        <f t="shared" si="34"/>
        <v>0</v>
      </c>
      <c r="AL601" s="8">
        <f t="shared" si="35"/>
        <v>1203</v>
      </c>
      <c r="AM601" s="9"/>
    </row>
    <row r="602" spans="1:39" ht="24.95" customHeight="1">
      <c r="A602" s="17" t="s">
        <v>639</v>
      </c>
      <c r="B602" s="8">
        <v>117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8"/>
      <c r="N602" s="8"/>
      <c r="O602" s="8"/>
      <c r="P602" s="8"/>
      <c r="Q602" s="8"/>
      <c r="R602" s="8"/>
      <c r="S602" s="8"/>
      <c r="T602" s="8"/>
      <c r="U602" s="18"/>
      <c r="V602" s="18"/>
      <c r="W602" s="18"/>
      <c r="X602" s="18"/>
      <c r="Y602" s="18"/>
      <c r="Z602" s="8"/>
      <c r="AA602" s="18"/>
      <c r="AB602" s="18"/>
      <c r="AC602" s="8">
        <f t="shared" si="36"/>
        <v>0</v>
      </c>
      <c r="AD602" s="18"/>
      <c r="AE602" s="18"/>
      <c r="AF602" s="8"/>
      <c r="AG602" s="18"/>
      <c r="AH602" s="8"/>
      <c r="AI602" s="8"/>
      <c r="AJ602" s="8"/>
      <c r="AK602" s="8">
        <f t="shared" si="34"/>
        <v>0</v>
      </c>
      <c r="AL602" s="8">
        <f t="shared" si="35"/>
        <v>117</v>
      </c>
      <c r="AM602" s="9"/>
    </row>
    <row r="603" spans="1:39" ht="24.95" customHeight="1">
      <c r="A603" s="17" t="s">
        <v>640</v>
      </c>
      <c r="B603" s="8">
        <v>2786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8"/>
      <c r="N603" s="8"/>
      <c r="O603" s="8"/>
      <c r="P603" s="8"/>
      <c r="Q603" s="8"/>
      <c r="R603" s="8"/>
      <c r="S603" s="8"/>
      <c r="T603" s="8"/>
      <c r="U603" s="18"/>
      <c r="V603" s="18"/>
      <c r="W603" s="18"/>
      <c r="X603" s="18"/>
      <c r="Y603" s="18"/>
      <c r="Z603" s="8"/>
      <c r="AA603" s="18">
        <f>+Z604*2+Z605*3</f>
        <v>21</v>
      </c>
      <c r="AB603" s="18"/>
      <c r="AC603" s="8">
        <f t="shared" si="36"/>
        <v>0</v>
      </c>
      <c r="AD603" s="18"/>
      <c r="AE603" s="18"/>
      <c r="AF603" s="8"/>
      <c r="AG603" s="18"/>
      <c r="AH603" s="8"/>
      <c r="AI603" s="8"/>
      <c r="AJ603" s="8">
        <v>81</v>
      </c>
      <c r="AK603" s="8">
        <f t="shared" si="34"/>
        <v>-102</v>
      </c>
      <c r="AL603" s="8">
        <f t="shared" si="35"/>
        <v>2684</v>
      </c>
      <c r="AM603" s="9"/>
    </row>
    <row r="604" spans="1:39" ht="24.95" customHeight="1">
      <c r="A604" s="17" t="s">
        <v>641</v>
      </c>
      <c r="B604" s="8">
        <v>0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8"/>
      <c r="N604" s="8"/>
      <c r="O604" s="8"/>
      <c r="P604" s="8"/>
      <c r="Q604" s="8"/>
      <c r="R604" s="8">
        <v>6</v>
      </c>
      <c r="S604" s="8"/>
      <c r="T604" s="8"/>
      <c r="U604" s="18"/>
      <c r="V604" s="18"/>
      <c r="W604" s="18"/>
      <c r="X604" s="18"/>
      <c r="Y604" s="18"/>
      <c r="Z604" s="8">
        <v>6</v>
      </c>
      <c r="AA604" s="18"/>
      <c r="AB604" s="18"/>
      <c r="AC604" s="8"/>
      <c r="AD604" s="18"/>
      <c r="AE604" s="18"/>
      <c r="AF604" s="8"/>
      <c r="AG604" s="18"/>
      <c r="AH604" s="8"/>
      <c r="AI604" s="8"/>
      <c r="AJ604" s="8"/>
      <c r="AK604" s="8">
        <f t="shared" si="34"/>
        <v>0</v>
      </c>
      <c r="AL604" s="8">
        <f t="shared" si="35"/>
        <v>0</v>
      </c>
      <c r="AM604" s="9"/>
    </row>
    <row r="605" spans="1:39" ht="24.95" customHeight="1">
      <c r="A605" s="17" t="s">
        <v>642</v>
      </c>
      <c r="B605" s="8">
        <v>0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8"/>
      <c r="N605" s="8"/>
      <c r="O605" s="8"/>
      <c r="P605" s="8"/>
      <c r="Q605" s="8"/>
      <c r="R605" s="8">
        <v>3</v>
      </c>
      <c r="S605" s="8"/>
      <c r="T605" s="8"/>
      <c r="U605" s="18"/>
      <c r="V605" s="18"/>
      <c r="W605" s="18"/>
      <c r="X605" s="18"/>
      <c r="Y605" s="18"/>
      <c r="Z605" s="8">
        <v>3</v>
      </c>
      <c r="AA605" s="18"/>
      <c r="AB605" s="18"/>
      <c r="AC605" s="8"/>
      <c r="AD605" s="18"/>
      <c r="AE605" s="18"/>
      <c r="AF605" s="8"/>
      <c r="AG605" s="18"/>
      <c r="AH605" s="8"/>
      <c r="AI605" s="8"/>
      <c r="AJ605" s="8"/>
      <c r="AK605" s="8">
        <f t="shared" si="34"/>
        <v>0</v>
      </c>
      <c r="AL605" s="8">
        <f t="shared" si="35"/>
        <v>0</v>
      </c>
      <c r="AM605" s="9"/>
    </row>
    <row r="606" spans="1:39" ht="24.95" customHeight="1">
      <c r="A606" s="17" t="s">
        <v>643</v>
      </c>
      <c r="B606" s="8">
        <v>4</v>
      </c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8"/>
      <c r="N606" s="8"/>
      <c r="O606" s="8"/>
      <c r="P606" s="8"/>
      <c r="Q606" s="8"/>
      <c r="R606" s="8"/>
      <c r="S606" s="8"/>
      <c r="T606" s="8"/>
      <c r="U606" s="18"/>
      <c r="V606" s="18"/>
      <c r="W606" s="18"/>
      <c r="X606" s="18"/>
      <c r="Y606" s="18"/>
      <c r="Z606" s="8"/>
      <c r="AA606" s="18"/>
      <c r="AB606" s="18"/>
      <c r="AC606" s="8">
        <f>+AB606</f>
        <v>0</v>
      </c>
      <c r="AD606" s="18"/>
      <c r="AE606" s="18"/>
      <c r="AF606" s="8"/>
      <c r="AG606" s="18"/>
      <c r="AH606" s="8"/>
      <c r="AI606" s="8"/>
      <c r="AJ606" s="8"/>
      <c r="AK606" s="8">
        <f t="shared" si="34"/>
        <v>0</v>
      </c>
      <c r="AL606" s="8">
        <f t="shared" si="35"/>
        <v>4</v>
      </c>
      <c r="AM606" s="9"/>
    </row>
    <row r="607" spans="1:39" ht="24.95" customHeight="1">
      <c r="A607" s="17" t="s">
        <v>644</v>
      </c>
      <c r="B607" s="8">
        <v>1867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8"/>
      <c r="N607" s="8"/>
      <c r="O607" s="8"/>
      <c r="P607" s="8"/>
      <c r="Q607" s="8"/>
      <c r="R607" s="8"/>
      <c r="S607" s="8"/>
      <c r="T607" s="8"/>
      <c r="U607" s="18"/>
      <c r="V607" s="18"/>
      <c r="W607" s="18"/>
      <c r="X607" s="18"/>
      <c r="Y607" s="18"/>
      <c r="Z607" s="8"/>
      <c r="AA607" s="18">
        <f>+Z608*2+Z609*3</f>
        <v>0</v>
      </c>
      <c r="AB607" s="18"/>
      <c r="AC607" s="8">
        <f>+AB607</f>
        <v>0</v>
      </c>
      <c r="AD607" s="18"/>
      <c r="AE607" s="18"/>
      <c r="AF607" s="8"/>
      <c r="AG607" s="18"/>
      <c r="AH607" s="8"/>
      <c r="AI607" s="8"/>
      <c r="AJ607" s="8">
        <v>2</v>
      </c>
      <c r="AK607" s="8">
        <f t="shared" si="34"/>
        <v>-2</v>
      </c>
      <c r="AL607" s="8">
        <f t="shared" si="35"/>
        <v>1865</v>
      </c>
      <c r="AM607" s="9"/>
    </row>
    <row r="608" spans="1:39" ht="24.95" customHeight="1">
      <c r="A608" s="17" t="s">
        <v>645</v>
      </c>
      <c r="B608" s="8">
        <v>0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8"/>
      <c r="N608" s="8"/>
      <c r="O608" s="8"/>
      <c r="P608" s="8"/>
      <c r="Q608" s="8"/>
      <c r="R608" s="8"/>
      <c r="S608" s="8"/>
      <c r="T608" s="8"/>
      <c r="U608" s="18"/>
      <c r="V608" s="18"/>
      <c r="W608" s="18"/>
      <c r="X608" s="18"/>
      <c r="Y608" s="18"/>
      <c r="Z608" s="8"/>
      <c r="AA608" s="18"/>
      <c r="AB608" s="18"/>
      <c r="AC608" s="8"/>
      <c r="AD608" s="18"/>
      <c r="AE608" s="18"/>
      <c r="AF608" s="8"/>
      <c r="AG608" s="18"/>
      <c r="AH608" s="8"/>
      <c r="AI608" s="8"/>
      <c r="AJ608" s="8"/>
      <c r="AK608" s="8">
        <f t="shared" si="34"/>
        <v>0</v>
      </c>
      <c r="AL608" s="8">
        <f t="shared" si="35"/>
        <v>0</v>
      </c>
      <c r="AM608" s="9"/>
    </row>
    <row r="609" spans="1:39" ht="24.95" customHeight="1">
      <c r="A609" s="17" t="s">
        <v>646</v>
      </c>
      <c r="B609" s="8">
        <v>0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8"/>
      <c r="N609" s="8"/>
      <c r="O609" s="8"/>
      <c r="P609" s="8"/>
      <c r="Q609" s="8"/>
      <c r="R609" s="8"/>
      <c r="S609" s="8"/>
      <c r="T609" s="8"/>
      <c r="U609" s="18"/>
      <c r="V609" s="18"/>
      <c r="W609" s="18"/>
      <c r="X609" s="18"/>
      <c r="Y609" s="18"/>
      <c r="Z609" s="8"/>
      <c r="AA609" s="18"/>
      <c r="AB609" s="18"/>
      <c r="AC609" s="8"/>
      <c r="AD609" s="18"/>
      <c r="AE609" s="18"/>
      <c r="AF609" s="8"/>
      <c r="AG609" s="18"/>
      <c r="AH609" s="8"/>
      <c r="AI609" s="8"/>
      <c r="AJ609" s="8"/>
      <c r="AK609" s="8">
        <f t="shared" si="34"/>
        <v>0</v>
      </c>
      <c r="AL609" s="8">
        <f t="shared" si="35"/>
        <v>0</v>
      </c>
      <c r="AM609" s="9"/>
    </row>
    <row r="610" spans="1:39" ht="24.95" customHeight="1">
      <c r="A610" s="17" t="s">
        <v>647</v>
      </c>
      <c r="B610" s="8">
        <v>10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8"/>
      <c r="N610" s="8"/>
      <c r="O610" s="8"/>
      <c r="P610" s="8"/>
      <c r="Q610" s="8"/>
      <c r="R610" s="8"/>
      <c r="S610" s="8"/>
      <c r="T610" s="8"/>
      <c r="U610" s="18"/>
      <c r="V610" s="18"/>
      <c r="W610" s="18"/>
      <c r="X610" s="18"/>
      <c r="Y610" s="18"/>
      <c r="Z610" s="8"/>
      <c r="AA610" s="18"/>
      <c r="AB610" s="18"/>
      <c r="AC610" s="8">
        <f>+AB610</f>
        <v>0</v>
      </c>
      <c r="AD610" s="18"/>
      <c r="AE610" s="18"/>
      <c r="AF610" s="8"/>
      <c r="AG610" s="18"/>
      <c r="AH610" s="8"/>
      <c r="AI610" s="8"/>
      <c r="AJ610" s="8"/>
      <c r="AK610" s="8">
        <f t="shared" si="34"/>
        <v>0</v>
      </c>
      <c r="AL610" s="8">
        <f t="shared" si="35"/>
        <v>10</v>
      </c>
      <c r="AM610" s="9"/>
    </row>
    <row r="611" spans="1:39" ht="24.95" customHeight="1">
      <c r="A611" s="17" t="s">
        <v>648</v>
      </c>
      <c r="B611" s="8">
        <v>4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8"/>
      <c r="N611" s="8"/>
      <c r="O611" s="8"/>
      <c r="P611" s="8"/>
      <c r="Q611" s="8"/>
      <c r="R611" s="8"/>
      <c r="S611" s="8"/>
      <c r="T611" s="8"/>
      <c r="U611" s="18"/>
      <c r="V611" s="18"/>
      <c r="W611" s="18"/>
      <c r="X611" s="18"/>
      <c r="Y611" s="18"/>
      <c r="Z611" s="8"/>
      <c r="AA611" s="18"/>
      <c r="AB611" s="18"/>
      <c r="AC611" s="8">
        <f>+AB611</f>
        <v>0</v>
      </c>
      <c r="AD611" s="18"/>
      <c r="AE611" s="18"/>
      <c r="AF611" s="8"/>
      <c r="AG611" s="18"/>
      <c r="AH611" s="8"/>
      <c r="AI611" s="8"/>
      <c r="AJ611" s="8"/>
      <c r="AK611" s="8">
        <f t="shared" si="34"/>
        <v>0</v>
      </c>
      <c r="AL611" s="8">
        <f t="shared" si="35"/>
        <v>4</v>
      </c>
      <c r="AM611" s="9"/>
    </row>
    <row r="612" spans="1:39" ht="24.95" customHeight="1">
      <c r="A612" s="17" t="s">
        <v>649</v>
      </c>
      <c r="B612" s="8">
        <v>1618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8"/>
      <c r="N612" s="8"/>
      <c r="O612" s="8"/>
      <c r="P612" s="8"/>
      <c r="Q612" s="8"/>
      <c r="R612" s="8"/>
      <c r="S612" s="8"/>
      <c r="T612" s="8"/>
      <c r="U612" s="18"/>
      <c r="V612" s="18"/>
      <c r="W612" s="18"/>
      <c r="X612" s="18"/>
      <c r="Y612" s="18"/>
      <c r="Z612" s="8"/>
      <c r="AA612" s="18">
        <f>+Z613*2</f>
        <v>0</v>
      </c>
      <c r="AB612" s="18"/>
      <c r="AC612" s="8">
        <f>+AB612</f>
        <v>0</v>
      </c>
      <c r="AD612" s="18"/>
      <c r="AE612" s="18"/>
      <c r="AF612" s="8"/>
      <c r="AG612" s="18"/>
      <c r="AH612" s="8"/>
      <c r="AI612" s="8"/>
      <c r="AJ612" s="8">
        <v>1</v>
      </c>
      <c r="AK612" s="8">
        <f t="shared" si="34"/>
        <v>-1</v>
      </c>
      <c r="AL612" s="8">
        <f t="shared" si="35"/>
        <v>1617</v>
      </c>
      <c r="AM612" s="9"/>
    </row>
    <row r="613" spans="1:39" ht="24.95" customHeight="1">
      <c r="A613" s="17" t="s">
        <v>650</v>
      </c>
      <c r="B613" s="8">
        <v>0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8"/>
      <c r="N613" s="8"/>
      <c r="O613" s="8"/>
      <c r="P613" s="8"/>
      <c r="Q613" s="8"/>
      <c r="R613" s="8"/>
      <c r="S613" s="8"/>
      <c r="T613" s="8"/>
      <c r="U613" s="18"/>
      <c r="V613" s="18"/>
      <c r="W613" s="18"/>
      <c r="X613" s="18"/>
      <c r="Y613" s="18"/>
      <c r="Z613" s="8"/>
      <c r="AA613" s="18"/>
      <c r="AB613" s="18"/>
      <c r="AC613" s="8"/>
      <c r="AD613" s="18"/>
      <c r="AE613" s="18"/>
      <c r="AF613" s="8"/>
      <c r="AG613" s="18"/>
      <c r="AH613" s="8"/>
      <c r="AI613" s="8"/>
      <c r="AJ613" s="8"/>
      <c r="AK613" s="8">
        <f t="shared" si="34"/>
        <v>0</v>
      </c>
      <c r="AL613" s="8">
        <f t="shared" si="35"/>
        <v>0</v>
      </c>
      <c r="AM613" s="9"/>
    </row>
    <row r="614" spans="1:39" ht="24.95" customHeight="1">
      <c r="A614" s="17" t="s">
        <v>651</v>
      </c>
      <c r="B614" s="8">
        <v>963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8"/>
      <c r="N614" s="8"/>
      <c r="O614" s="8"/>
      <c r="P614" s="8"/>
      <c r="Q614" s="8"/>
      <c r="R614" s="8"/>
      <c r="S614" s="8"/>
      <c r="T614" s="8"/>
      <c r="U614" s="18"/>
      <c r="V614" s="18"/>
      <c r="W614" s="18"/>
      <c r="X614" s="18">
        <f>+Y615*2</f>
        <v>0</v>
      </c>
      <c r="Y614" s="18"/>
      <c r="Z614" s="8"/>
      <c r="AA614" s="18">
        <f>+Z615*2</f>
        <v>0</v>
      </c>
      <c r="AB614" s="18"/>
      <c r="AC614" s="8">
        <f>+AB614</f>
        <v>0</v>
      </c>
      <c r="AD614" s="18"/>
      <c r="AE614" s="18"/>
      <c r="AF614" s="8"/>
      <c r="AG614" s="18"/>
      <c r="AH614" s="8"/>
      <c r="AI614" s="8"/>
      <c r="AJ614" s="8">
        <v>4</v>
      </c>
      <c r="AK614" s="8">
        <f t="shared" si="34"/>
        <v>-4</v>
      </c>
      <c r="AL614" s="8">
        <f t="shared" si="35"/>
        <v>959</v>
      </c>
      <c r="AM614" s="9"/>
    </row>
    <row r="615" spans="1:39" ht="24.95" customHeight="1">
      <c r="A615" s="17" t="s">
        <v>652</v>
      </c>
      <c r="B615" s="8">
        <v>571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8"/>
      <c r="N615" s="8"/>
      <c r="O615" s="8"/>
      <c r="P615" s="8"/>
      <c r="Q615" s="8"/>
      <c r="R615" s="8"/>
      <c r="S615" s="8"/>
      <c r="T615" s="8"/>
      <c r="U615" s="18"/>
      <c r="V615" s="18"/>
      <c r="W615" s="18"/>
      <c r="X615" s="18"/>
      <c r="Y615" s="18"/>
      <c r="Z615" s="8"/>
      <c r="AA615" s="18"/>
      <c r="AB615" s="18"/>
      <c r="AC615" s="8"/>
      <c r="AD615" s="18"/>
      <c r="AE615" s="18"/>
      <c r="AF615" s="8"/>
      <c r="AG615" s="18"/>
      <c r="AH615" s="8"/>
      <c r="AI615" s="8"/>
      <c r="AJ615" s="8"/>
      <c r="AK615" s="8">
        <f t="shared" si="34"/>
        <v>0</v>
      </c>
      <c r="AL615" s="8">
        <f t="shared" si="35"/>
        <v>571</v>
      </c>
      <c r="AM615" s="9"/>
    </row>
    <row r="616" spans="1:39" ht="24.95" customHeight="1">
      <c r="A616" s="17" t="s">
        <v>653</v>
      </c>
      <c r="B616" s="8">
        <v>3641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8"/>
      <c r="N616" s="8"/>
      <c r="O616" s="8"/>
      <c r="P616" s="8"/>
      <c r="Q616" s="8"/>
      <c r="R616" s="8"/>
      <c r="S616" s="8"/>
      <c r="T616" s="8"/>
      <c r="U616" s="18"/>
      <c r="V616" s="18"/>
      <c r="W616" s="18"/>
      <c r="X616" s="18"/>
      <c r="Y616" s="18"/>
      <c r="Z616" s="8"/>
      <c r="AA616" s="18">
        <f>+Z617*2</f>
        <v>0</v>
      </c>
      <c r="AB616" s="18"/>
      <c r="AC616" s="8">
        <f>+AB616</f>
        <v>0</v>
      </c>
      <c r="AD616" s="18"/>
      <c r="AE616" s="18"/>
      <c r="AF616" s="8"/>
      <c r="AG616" s="18"/>
      <c r="AH616" s="8"/>
      <c r="AI616" s="8"/>
      <c r="AJ616" s="8"/>
      <c r="AK616" s="8">
        <f t="shared" si="34"/>
        <v>0</v>
      </c>
      <c r="AL616" s="8">
        <f t="shared" si="35"/>
        <v>3641</v>
      </c>
      <c r="AM616" s="9"/>
    </row>
    <row r="617" spans="1:39" ht="24.95" customHeight="1">
      <c r="A617" s="17" t="s">
        <v>654</v>
      </c>
      <c r="B617" s="8">
        <v>0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8"/>
      <c r="N617" s="8"/>
      <c r="O617" s="8"/>
      <c r="P617" s="8"/>
      <c r="Q617" s="8"/>
      <c r="R617" s="8"/>
      <c r="S617" s="8"/>
      <c r="T617" s="8"/>
      <c r="U617" s="18"/>
      <c r="V617" s="18"/>
      <c r="W617" s="18"/>
      <c r="X617" s="18"/>
      <c r="Y617" s="18"/>
      <c r="Z617" s="8"/>
      <c r="AA617" s="18"/>
      <c r="AB617" s="18"/>
      <c r="AC617" s="8"/>
      <c r="AD617" s="18"/>
      <c r="AE617" s="18"/>
      <c r="AF617" s="8"/>
      <c r="AG617" s="18"/>
      <c r="AH617" s="8"/>
      <c r="AI617" s="8"/>
      <c r="AJ617" s="8"/>
      <c r="AK617" s="8">
        <f t="shared" si="34"/>
        <v>0</v>
      </c>
      <c r="AL617" s="8">
        <f t="shared" si="35"/>
        <v>0</v>
      </c>
      <c r="AM617" s="9"/>
    </row>
    <row r="618" spans="1:39" ht="24.95" customHeight="1">
      <c r="A618" s="17" t="s">
        <v>655</v>
      </c>
      <c r="B618" s="8">
        <v>3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8"/>
      <c r="N618" s="8"/>
      <c r="O618" s="8"/>
      <c r="P618" s="8"/>
      <c r="Q618" s="8"/>
      <c r="R618" s="8"/>
      <c r="S618" s="8"/>
      <c r="T618" s="8"/>
      <c r="U618" s="18"/>
      <c r="V618" s="18"/>
      <c r="W618" s="18"/>
      <c r="X618" s="18"/>
      <c r="Y618" s="18"/>
      <c r="Z618" s="8"/>
      <c r="AA618" s="18">
        <f>+Z616*2</f>
        <v>0</v>
      </c>
      <c r="AB618" s="18"/>
      <c r="AC618" s="8">
        <f>+AB618</f>
        <v>0</v>
      </c>
      <c r="AD618" s="18"/>
      <c r="AE618" s="18"/>
      <c r="AF618" s="8"/>
      <c r="AG618" s="18"/>
      <c r="AH618" s="8"/>
      <c r="AI618" s="8"/>
      <c r="AJ618" s="8"/>
      <c r="AK618" s="8">
        <f t="shared" si="34"/>
        <v>0</v>
      </c>
      <c r="AL618" s="8">
        <f t="shared" si="35"/>
        <v>3</v>
      </c>
      <c r="AM618" s="9"/>
    </row>
    <row r="619" spans="1:39" ht="24.95" customHeight="1">
      <c r="A619" s="17" t="s">
        <v>656</v>
      </c>
      <c r="B619" s="8">
        <v>1221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8"/>
      <c r="N619" s="8"/>
      <c r="O619" s="8"/>
      <c r="P619" s="8"/>
      <c r="Q619" s="8"/>
      <c r="R619" s="8">
        <v>74</v>
      </c>
      <c r="S619" s="8"/>
      <c r="T619" s="8"/>
      <c r="U619" s="18"/>
      <c r="V619" s="18"/>
      <c r="W619" s="18"/>
      <c r="X619" s="18"/>
      <c r="Y619" s="18"/>
      <c r="Z619" s="8"/>
      <c r="AA619" s="18">
        <f>+Z620*2+Z621*3+Z622*4</f>
        <v>123</v>
      </c>
      <c r="AB619" s="18"/>
      <c r="AC619" s="8">
        <f>+AB619</f>
        <v>0</v>
      </c>
      <c r="AD619" s="18"/>
      <c r="AE619" s="18"/>
      <c r="AF619" s="8"/>
      <c r="AG619" s="18"/>
      <c r="AH619" s="8"/>
      <c r="AI619" s="8"/>
      <c r="AJ619" s="8">
        <v>18</v>
      </c>
      <c r="AK619" s="8">
        <f t="shared" si="34"/>
        <v>-215</v>
      </c>
      <c r="AL619" s="8">
        <f t="shared" si="35"/>
        <v>1006</v>
      </c>
      <c r="AM619" s="9"/>
    </row>
    <row r="620" spans="1:39" ht="24.95" customHeight="1">
      <c r="A620" s="17" t="s">
        <v>657</v>
      </c>
      <c r="B620" s="8">
        <v>0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8"/>
      <c r="N620" s="8"/>
      <c r="O620" s="8"/>
      <c r="P620" s="8"/>
      <c r="Q620" s="8"/>
      <c r="R620" s="8">
        <v>31</v>
      </c>
      <c r="S620" s="8"/>
      <c r="T620" s="8"/>
      <c r="U620" s="18"/>
      <c r="V620" s="18"/>
      <c r="W620" s="18"/>
      <c r="X620" s="18"/>
      <c r="Y620" s="18"/>
      <c r="Z620" s="8">
        <v>31</v>
      </c>
      <c r="AA620" s="18"/>
      <c r="AB620" s="18"/>
      <c r="AC620" s="8"/>
      <c r="AD620" s="18"/>
      <c r="AE620" s="18"/>
      <c r="AF620" s="8"/>
      <c r="AG620" s="18"/>
      <c r="AH620" s="8"/>
      <c r="AI620" s="8"/>
      <c r="AJ620" s="8"/>
      <c r="AK620" s="8">
        <f t="shared" si="34"/>
        <v>0</v>
      </c>
      <c r="AL620" s="8">
        <f t="shared" si="35"/>
        <v>0</v>
      </c>
      <c r="AM620" s="9"/>
    </row>
    <row r="621" spans="1:39" ht="24.95" customHeight="1">
      <c r="A621" s="17" t="s">
        <v>658</v>
      </c>
      <c r="B621" s="8">
        <v>0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8"/>
      <c r="N621" s="8"/>
      <c r="O621" s="8"/>
      <c r="P621" s="8"/>
      <c r="Q621" s="8"/>
      <c r="R621" s="8">
        <v>19</v>
      </c>
      <c r="S621" s="8"/>
      <c r="T621" s="8"/>
      <c r="U621" s="18"/>
      <c r="V621" s="18"/>
      <c r="W621" s="18"/>
      <c r="X621" s="18"/>
      <c r="Y621" s="18"/>
      <c r="Z621" s="8">
        <v>19</v>
      </c>
      <c r="AA621" s="18"/>
      <c r="AB621" s="18"/>
      <c r="AC621" s="8"/>
      <c r="AD621" s="18"/>
      <c r="AE621" s="18"/>
      <c r="AF621" s="8"/>
      <c r="AG621" s="18"/>
      <c r="AH621" s="8"/>
      <c r="AI621" s="8"/>
      <c r="AJ621" s="8"/>
      <c r="AK621" s="8">
        <f t="shared" si="34"/>
        <v>0</v>
      </c>
      <c r="AL621" s="8">
        <f t="shared" si="35"/>
        <v>0</v>
      </c>
      <c r="AM621" s="9"/>
    </row>
    <row r="622" spans="1:39" ht="24.95" customHeight="1">
      <c r="A622" s="17" t="s">
        <v>659</v>
      </c>
      <c r="B622" s="8">
        <v>0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8"/>
      <c r="N622" s="8"/>
      <c r="O622" s="8"/>
      <c r="P622" s="8"/>
      <c r="Q622" s="8"/>
      <c r="R622" s="8"/>
      <c r="S622" s="8"/>
      <c r="T622" s="8"/>
      <c r="U622" s="18"/>
      <c r="V622" s="18"/>
      <c r="W622" s="18"/>
      <c r="X622" s="18"/>
      <c r="Y622" s="18"/>
      <c r="Z622" s="8">
        <v>1</v>
      </c>
      <c r="AA622" s="18"/>
      <c r="AB622" s="18"/>
      <c r="AC622" s="8"/>
      <c r="AD622" s="18"/>
      <c r="AE622" s="18"/>
      <c r="AF622" s="8"/>
      <c r="AG622" s="18"/>
      <c r="AH622" s="8"/>
      <c r="AI622" s="8"/>
      <c r="AJ622" s="8">
        <v>1</v>
      </c>
      <c r="AK622" s="8">
        <f>SUM((D622+P622+G622+L622+S622+X622+Z622+AD622+M622+J622+V622+AB622+F622+AG622+O622+AI622)+(-N622-E622-R622-Q622-T622-Y622-AA622-AE622-AJ622-K622-I622-H622-U622-AC622-AF622-AH622-W622))</f>
        <v>0</v>
      </c>
      <c r="AL622" s="8">
        <f>B622+AK622</f>
        <v>0</v>
      </c>
      <c r="AM622" s="9"/>
    </row>
    <row r="623" spans="1:39" ht="24.95" customHeight="1">
      <c r="A623" s="17" t="s">
        <v>660</v>
      </c>
      <c r="B623" s="8">
        <v>3135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8"/>
      <c r="N623" s="8"/>
      <c r="O623" s="8"/>
      <c r="P623" s="8"/>
      <c r="Q623" s="8"/>
      <c r="R623" s="8"/>
      <c r="S623" s="8"/>
      <c r="T623" s="8"/>
      <c r="U623" s="18"/>
      <c r="V623" s="18"/>
      <c r="W623" s="18"/>
      <c r="X623" s="18"/>
      <c r="Y623" s="18"/>
      <c r="Z623" s="8"/>
      <c r="AA623" s="18">
        <f>+Z624*2+Z625*3+Z626*4</f>
        <v>6</v>
      </c>
      <c r="AB623" s="18"/>
      <c r="AC623" s="8">
        <f>+AB623</f>
        <v>0</v>
      </c>
      <c r="AD623" s="18"/>
      <c r="AE623" s="18"/>
      <c r="AF623" s="8"/>
      <c r="AG623" s="18"/>
      <c r="AH623" s="8"/>
      <c r="AI623" s="8"/>
      <c r="AJ623" s="8">
        <v>19</v>
      </c>
      <c r="AK623" s="8">
        <f t="shared" si="34"/>
        <v>-25</v>
      </c>
      <c r="AL623" s="8">
        <f t="shared" si="35"/>
        <v>3110</v>
      </c>
      <c r="AM623" s="9"/>
    </row>
    <row r="624" spans="1:39" ht="24.95" customHeight="1">
      <c r="A624" s="17" t="s">
        <v>661</v>
      </c>
      <c r="B624" s="8">
        <v>0</v>
      </c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8"/>
      <c r="N624" s="8"/>
      <c r="O624" s="8"/>
      <c r="P624" s="8"/>
      <c r="Q624" s="8"/>
      <c r="R624" s="8">
        <v>3</v>
      </c>
      <c r="S624" s="8"/>
      <c r="T624" s="8"/>
      <c r="U624" s="18"/>
      <c r="V624" s="18"/>
      <c r="W624" s="18"/>
      <c r="X624" s="18"/>
      <c r="Y624" s="18"/>
      <c r="Z624" s="8">
        <v>3</v>
      </c>
      <c r="AA624" s="18"/>
      <c r="AB624" s="18"/>
      <c r="AC624" s="8"/>
      <c r="AD624" s="18"/>
      <c r="AE624" s="18"/>
      <c r="AF624" s="8"/>
      <c r="AG624" s="18"/>
      <c r="AH624" s="8"/>
      <c r="AI624" s="8"/>
      <c r="AJ624" s="8"/>
      <c r="AK624" s="8">
        <f t="shared" si="34"/>
        <v>0</v>
      </c>
      <c r="AL624" s="8">
        <f t="shared" si="35"/>
        <v>0</v>
      </c>
      <c r="AM624" s="9"/>
    </row>
    <row r="625" spans="1:39" ht="24.95" customHeight="1">
      <c r="A625" s="17" t="s">
        <v>662</v>
      </c>
      <c r="B625" s="8">
        <v>0</v>
      </c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8"/>
      <c r="N625" s="8"/>
      <c r="O625" s="8"/>
      <c r="P625" s="8"/>
      <c r="Q625" s="8"/>
      <c r="R625" s="8"/>
      <c r="S625" s="8"/>
      <c r="T625" s="8"/>
      <c r="U625" s="18"/>
      <c r="V625" s="18"/>
      <c r="W625" s="18"/>
      <c r="X625" s="18"/>
      <c r="Y625" s="18"/>
      <c r="Z625" s="8"/>
      <c r="AA625" s="18"/>
      <c r="AB625" s="18"/>
      <c r="AC625" s="8"/>
      <c r="AD625" s="18"/>
      <c r="AE625" s="18"/>
      <c r="AF625" s="8"/>
      <c r="AG625" s="18"/>
      <c r="AH625" s="8"/>
      <c r="AI625" s="8"/>
      <c r="AJ625" s="8"/>
      <c r="AK625" s="8">
        <f t="shared" si="34"/>
        <v>0</v>
      </c>
      <c r="AL625" s="8">
        <f t="shared" si="35"/>
        <v>0</v>
      </c>
      <c r="AM625" s="9"/>
    </row>
    <row r="626" spans="1:39" ht="24.95" customHeight="1">
      <c r="A626" s="17" t="s">
        <v>663</v>
      </c>
      <c r="B626" s="8">
        <v>0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8"/>
      <c r="N626" s="8"/>
      <c r="O626" s="8"/>
      <c r="P626" s="8"/>
      <c r="Q626" s="8"/>
      <c r="R626" s="8"/>
      <c r="S626" s="8"/>
      <c r="T626" s="8"/>
      <c r="U626" s="18"/>
      <c r="V626" s="18"/>
      <c r="W626" s="18"/>
      <c r="X626" s="18"/>
      <c r="Y626" s="18"/>
      <c r="Z626" s="8"/>
      <c r="AA626" s="18"/>
      <c r="AB626" s="18"/>
      <c r="AC626" s="8"/>
      <c r="AD626" s="18"/>
      <c r="AE626" s="18"/>
      <c r="AF626" s="8"/>
      <c r="AG626" s="18"/>
      <c r="AH626" s="8"/>
      <c r="AI626" s="8"/>
      <c r="AJ626" s="8"/>
      <c r="AK626" s="8">
        <f t="shared" si="34"/>
        <v>0</v>
      </c>
      <c r="AL626" s="8">
        <f t="shared" si="35"/>
        <v>0</v>
      </c>
      <c r="AM626" s="9"/>
    </row>
    <row r="627" spans="1:39" ht="24.95" customHeight="1">
      <c r="A627" s="17" t="s">
        <v>664</v>
      </c>
      <c r="B627" s="8">
        <v>1469</v>
      </c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8"/>
      <c r="N627" s="8"/>
      <c r="O627" s="8"/>
      <c r="P627" s="8"/>
      <c r="Q627" s="8"/>
      <c r="R627" s="8"/>
      <c r="S627" s="8"/>
      <c r="T627" s="8"/>
      <c r="U627" s="18"/>
      <c r="V627" s="18"/>
      <c r="W627" s="18"/>
      <c r="X627" s="18"/>
      <c r="Y627" s="18"/>
      <c r="Z627" s="8"/>
      <c r="AA627" s="18">
        <f>+Z628*2+Z629*3</f>
        <v>0</v>
      </c>
      <c r="AB627" s="18"/>
      <c r="AC627" s="8">
        <f>+AB627</f>
        <v>0</v>
      </c>
      <c r="AD627" s="18"/>
      <c r="AE627" s="18"/>
      <c r="AF627" s="8"/>
      <c r="AG627" s="18"/>
      <c r="AH627" s="8"/>
      <c r="AI627" s="8"/>
      <c r="AJ627" s="8">
        <v>4</v>
      </c>
      <c r="AK627" s="8">
        <f t="shared" si="34"/>
        <v>-4</v>
      </c>
      <c r="AL627" s="8">
        <f t="shared" si="35"/>
        <v>1465</v>
      </c>
      <c r="AM627" s="9"/>
    </row>
    <row r="628" spans="1:39" ht="24.95" customHeight="1">
      <c r="A628" s="17" t="s">
        <v>665</v>
      </c>
      <c r="B628" s="8">
        <v>10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8"/>
      <c r="N628" s="8"/>
      <c r="O628" s="8"/>
      <c r="P628" s="8"/>
      <c r="Q628" s="8"/>
      <c r="R628" s="8"/>
      <c r="S628" s="8"/>
      <c r="T628" s="8"/>
      <c r="U628" s="18"/>
      <c r="V628" s="18"/>
      <c r="W628" s="18"/>
      <c r="X628" s="18"/>
      <c r="Y628" s="18"/>
      <c r="Z628" s="8"/>
      <c r="AA628" s="18"/>
      <c r="AB628" s="18"/>
      <c r="AC628" s="8"/>
      <c r="AD628" s="18"/>
      <c r="AE628" s="18"/>
      <c r="AF628" s="8"/>
      <c r="AG628" s="18"/>
      <c r="AH628" s="8"/>
      <c r="AI628" s="8"/>
      <c r="AJ628" s="8"/>
      <c r="AK628" s="8">
        <f t="shared" si="34"/>
        <v>0</v>
      </c>
      <c r="AL628" s="8">
        <f t="shared" si="35"/>
        <v>10</v>
      </c>
      <c r="AM628" s="9"/>
    </row>
    <row r="629" spans="1:39" ht="24.95" customHeight="1">
      <c r="A629" s="17" t="s">
        <v>666</v>
      </c>
      <c r="B629" s="8">
        <v>0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8"/>
      <c r="N629" s="8"/>
      <c r="O629" s="8"/>
      <c r="P629" s="8"/>
      <c r="Q629" s="8"/>
      <c r="R629" s="8"/>
      <c r="S629" s="8"/>
      <c r="T629" s="8"/>
      <c r="U629" s="18"/>
      <c r="V629" s="18"/>
      <c r="W629" s="18"/>
      <c r="X629" s="18"/>
      <c r="Y629" s="18"/>
      <c r="Z629" s="8"/>
      <c r="AA629" s="18"/>
      <c r="AB629" s="18"/>
      <c r="AC629" s="8"/>
      <c r="AD629" s="18"/>
      <c r="AE629" s="18"/>
      <c r="AF629" s="8"/>
      <c r="AG629" s="18"/>
      <c r="AH629" s="8"/>
      <c r="AI629" s="8"/>
      <c r="AJ629" s="8"/>
      <c r="AK629" s="8">
        <f t="shared" si="34"/>
        <v>0</v>
      </c>
      <c r="AL629" s="8">
        <f t="shared" si="35"/>
        <v>0</v>
      </c>
      <c r="AM629" s="9"/>
    </row>
    <row r="630" spans="1:39" ht="24.95" customHeight="1">
      <c r="A630" s="17" t="s">
        <v>667</v>
      </c>
      <c r="B630" s="8">
        <v>6328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8"/>
      <c r="N630" s="8"/>
      <c r="O630" s="8"/>
      <c r="P630" s="8"/>
      <c r="Q630" s="8"/>
      <c r="R630" s="8"/>
      <c r="S630" s="8"/>
      <c r="T630" s="8"/>
      <c r="U630" s="18"/>
      <c r="V630" s="18"/>
      <c r="W630" s="18"/>
      <c r="X630" s="18"/>
      <c r="Y630" s="18"/>
      <c r="Z630" s="8"/>
      <c r="AA630" s="18">
        <f>+Z631*2</f>
        <v>0</v>
      </c>
      <c r="AB630" s="18"/>
      <c r="AC630" s="8">
        <f>+AB630</f>
        <v>0</v>
      </c>
      <c r="AD630" s="18"/>
      <c r="AE630" s="18"/>
      <c r="AF630" s="8"/>
      <c r="AG630" s="18"/>
      <c r="AH630" s="8"/>
      <c r="AI630" s="8"/>
      <c r="AJ630" s="8">
        <v>150</v>
      </c>
      <c r="AK630" s="8">
        <f t="shared" si="34"/>
        <v>-150</v>
      </c>
      <c r="AL630" s="8">
        <f t="shared" si="35"/>
        <v>6178</v>
      </c>
      <c r="AM630" s="9"/>
    </row>
    <row r="631" spans="1:39" ht="24.95" customHeight="1">
      <c r="A631" s="17" t="s">
        <v>668</v>
      </c>
      <c r="B631" s="8">
        <v>97</v>
      </c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8"/>
      <c r="N631" s="8"/>
      <c r="O631" s="8"/>
      <c r="P631" s="8"/>
      <c r="Q631" s="8"/>
      <c r="R631" s="8"/>
      <c r="S631" s="8"/>
      <c r="T631" s="8"/>
      <c r="U631" s="18"/>
      <c r="V631" s="18"/>
      <c r="W631" s="18"/>
      <c r="X631" s="18"/>
      <c r="Y631" s="18"/>
      <c r="Z631" s="8"/>
      <c r="AA631" s="18"/>
      <c r="AB631" s="18"/>
      <c r="AC631" s="8"/>
      <c r="AD631" s="18"/>
      <c r="AE631" s="18"/>
      <c r="AF631" s="8"/>
      <c r="AG631" s="18"/>
      <c r="AH631" s="8"/>
      <c r="AI631" s="8"/>
      <c r="AJ631" s="8"/>
      <c r="AK631" s="8">
        <f t="shared" si="34"/>
        <v>0</v>
      </c>
      <c r="AL631" s="8">
        <f t="shared" si="35"/>
        <v>97</v>
      </c>
      <c r="AM631" s="9"/>
    </row>
    <row r="632" spans="1:39" ht="24.95" customHeight="1">
      <c r="A632" s="17" t="s">
        <v>669</v>
      </c>
      <c r="B632" s="8">
        <v>1722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8"/>
      <c r="N632" s="8"/>
      <c r="O632" s="8"/>
      <c r="P632" s="8"/>
      <c r="Q632" s="8"/>
      <c r="R632" s="8"/>
      <c r="S632" s="8"/>
      <c r="T632" s="8"/>
      <c r="U632" s="18"/>
      <c r="V632" s="18"/>
      <c r="W632" s="18"/>
      <c r="X632" s="18"/>
      <c r="Y632" s="18"/>
      <c r="Z632" s="8"/>
      <c r="AA632" s="18">
        <f>+Z633*2+Z634*3+Z635*4</f>
        <v>0</v>
      </c>
      <c r="AB632" s="18"/>
      <c r="AC632" s="8">
        <f>+AB632</f>
        <v>0</v>
      </c>
      <c r="AD632" s="18"/>
      <c r="AE632" s="18"/>
      <c r="AF632" s="8"/>
      <c r="AG632" s="18"/>
      <c r="AH632" s="8"/>
      <c r="AI632" s="8"/>
      <c r="AJ632" s="8"/>
      <c r="AK632" s="8">
        <f t="shared" si="34"/>
        <v>0</v>
      </c>
      <c r="AL632" s="8">
        <f t="shared" si="35"/>
        <v>1722</v>
      </c>
      <c r="AM632" s="9"/>
    </row>
    <row r="633" spans="1:39" ht="24.95" customHeight="1">
      <c r="A633" s="17" t="s">
        <v>670</v>
      </c>
      <c r="B633" s="8">
        <v>215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8"/>
      <c r="N633" s="8"/>
      <c r="O633" s="8"/>
      <c r="P633" s="8"/>
      <c r="Q633" s="8"/>
      <c r="R633" s="8"/>
      <c r="S633" s="8"/>
      <c r="T633" s="8"/>
      <c r="U633" s="18"/>
      <c r="V633" s="18"/>
      <c r="W633" s="18"/>
      <c r="X633" s="18"/>
      <c r="Y633" s="18"/>
      <c r="Z633" s="8"/>
      <c r="AA633" s="18"/>
      <c r="AB633" s="18"/>
      <c r="AC633" s="8"/>
      <c r="AD633" s="18"/>
      <c r="AE633" s="18"/>
      <c r="AF633" s="8"/>
      <c r="AG633" s="18"/>
      <c r="AH633" s="8"/>
      <c r="AI633" s="8"/>
      <c r="AJ633" s="8"/>
      <c r="AK633" s="8">
        <f t="shared" si="34"/>
        <v>0</v>
      </c>
      <c r="AL633" s="8">
        <f t="shared" si="35"/>
        <v>215</v>
      </c>
      <c r="AM633" s="9"/>
    </row>
    <row r="634" spans="1:39" ht="24.95" customHeight="1">
      <c r="A634" s="17" t="s">
        <v>671</v>
      </c>
      <c r="B634" s="8">
        <v>0</v>
      </c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8"/>
      <c r="N634" s="8"/>
      <c r="O634" s="8"/>
      <c r="P634" s="8"/>
      <c r="Q634" s="8"/>
      <c r="R634" s="8"/>
      <c r="S634" s="8"/>
      <c r="T634" s="8"/>
      <c r="U634" s="18"/>
      <c r="V634" s="18"/>
      <c r="W634" s="18"/>
      <c r="X634" s="18"/>
      <c r="Y634" s="18"/>
      <c r="Z634" s="8"/>
      <c r="AA634" s="18"/>
      <c r="AB634" s="18"/>
      <c r="AC634" s="8"/>
      <c r="AD634" s="18"/>
      <c r="AE634" s="18"/>
      <c r="AF634" s="8"/>
      <c r="AG634" s="18"/>
      <c r="AH634" s="8"/>
      <c r="AI634" s="8"/>
      <c r="AJ634" s="8"/>
      <c r="AK634" s="8">
        <f t="shared" si="34"/>
        <v>0</v>
      </c>
      <c r="AL634" s="8">
        <f t="shared" si="35"/>
        <v>0</v>
      </c>
      <c r="AM634" s="9"/>
    </row>
    <row r="635" spans="1:39" ht="24.95" customHeight="1">
      <c r="A635" s="17" t="s">
        <v>672</v>
      </c>
      <c r="B635" s="8">
        <v>0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8"/>
      <c r="N635" s="8"/>
      <c r="O635" s="8"/>
      <c r="P635" s="8"/>
      <c r="Q635" s="8"/>
      <c r="R635" s="8"/>
      <c r="S635" s="8"/>
      <c r="T635" s="8"/>
      <c r="U635" s="18"/>
      <c r="V635" s="18"/>
      <c r="W635" s="18"/>
      <c r="X635" s="18"/>
      <c r="Y635" s="18"/>
      <c r="Z635" s="8"/>
      <c r="AA635" s="18"/>
      <c r="AB635" s="18"/>
      <c r="AC635" s="8"/>
      <c r="AD635" s="18"/>
      <c r="AE635" s="18"/>
      <c r="AF635" s="8"/>
      <c r="AG635" s="18"/>
      <c r="AH635" s="8"/>
      <c r="AI635" s="8"/>
      <c r="AJ635" s="8"/>
      <c r="AK635" s="8">
        <f t="shared" si="34"/>
        <v>0</v>
      </c>
      <c r="AL635" s="8">
        <f t="shared" si="35"/>
        <v>0</v>
      </c>
      <c r="AM635" s="9"/>
    </row>
    <row r="636" spans="1:39" ht="24.95" customHeight="1">
      <c r="A636" s="17" t="s">
        <v>673</v>
      </c>
      <c r="B636" s="8">
        <v>2093</v>
      </c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8"/>
      <c r="N636" s="8"/>
      <c r="O636" s="8"/>
      <c r="P636" s="8"/>
      <c r="Q636" s="8"/>
      <c r="R636" s="8"/>
      <c r="S636" s="8"/>
      <c r="T636" s="8"/>
      <c r="U636" s="18"/>
      <c r="V636" s="18"/>
      <c r="W636" s="18"/>
      <c r="X636" s="18"/>
      <c r="Y636" s="18"/>
      <c r="Z636" s="8"/>
      <c r="AA636" s="18">
        <f>+Z637*2</f>
        <v>0</v>
      </c>
      <c r="AB636" s="18"/>
      <c r="AC636" s="8">
        <f>+AB636</f>
        <v>0</v>
      </c>
      <c r="AD636" s="18"/>
      <c r="AE636" s="18"/>
      <c r="AF636" s="8"/>
      <c r="AG636" s="18"/>
      <c r="AH636" s="8"/>
      <c r="AI636" s="8"/>
      <c r="AJ636" s="8"/>
      <c r="AK636" s="8">
        <f t="shared" si="34"/>
        <v>0</v>
      </c>
      <c r="AL636" s="8">
        <f t="shared" si="35"/>
        <v>2093</v>
      </c>
      <c r="AM636" s="9"/>
    </row>
    <row r="637" spans="1:39" ht="24.95" customHeight="1">
      <c r="A637" s="17" t="s">
        <v>674</v>
      </c>
      <c r="B637" s="8">
        <v>0</v>
      </c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8"/>
      <c r="N637" s="8"/>
      <c r="O637" s="8"/>
      <c r="P637" s="8"/>
      <c r="Q637" s="8"/>
      <c r="R637" s="8"/>
      <c r="S637" s="8"/>
      <c r="T637" s="8"/>
      <c r="U637" s="18"/>
      <c r="V637" s="18"/>
      <c r="W637" s="18"/>
      <c r="X637" s="18"/>
      <c r="Y637" s="18"/>
      <c r="Z637" s="8"/>
      <c r="AA637" s="18"/>
      <c r="AB637" s="18"/>
      <c r="AC637" s="8"/>
      <c r="AD637" s="18"/>
      <c r="AE637" s="18"/>
      <c r="AF637" s="8"/>
      <c r="AG637" s="18"/>
      <c r="AH637" s="8"/>
      <c r="AI637" s="8"/>
      <c r="AJ637" s="8"/>
      <c r="AK637" s="8">
        <f t="shared" si="34"/>
        <v>0</v>
      </c>
      <c r="AL637" s="8">
        <f t="shared" si="35"/>
        <v>0</v>
      </c>
      <c r="AM637" s="9"/>
    </row>
    <row r="638" spans="1:39" ht="24.95" customHeight="1">
      <c r="A638" s="17" t="s">
        <v>675</v>
      </c>
      <c r="B638" s="8">
        <v>9089</v>
      </c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8"/>
      <c r="N638" s="8"/>
      <c r="O638" s="8"/>
      <c r="P638" s="8"/>
      <c r="Q638" s="8"/>
      <c r="R638" s="8"/>
      <c r="S638" s="8"/>
      <c r="T638" s="8"/>
      <c r="U638" s="18"/>
      <c r="V638" s="18"/>
      <c r="W638" s="18"/>
      <c r="X638" s="18"/>
      <c r="Y638" s="18"/>
      <c r="Z638" s="8"/>
      <c r="AA638" s="18">
        <f>+Z639*2</f>
        <v>0</v>
      </c>
      <c r="AB638" s="18"/>
      <c r="AC638" s="8">
        <f>+AB638</f>
        <v>0</v>
      </c>
      <c r="AD638" s="18"/>
      <c r="AE638" s="18"/>
      <c r="AF638" s="8"/>
      <c r="AG638" s="18"/>
      <c r="AH638" s="8"/>
      <c r="AI638" s="8"/>
      <c r="AJ638" s="8">
        <v>42</v>
      </c>
      <c r="AK638" s="8">
        <f t="shared" si="34"/>
        <v>-42</v>
      </c>
      <c r="AL638" s="8">
        <f t="shared" si="35"/>
        <v>9047</v>
      </c>
      <c r="AM638" s="9"/>
    </row>
    <row r="639" spans="1:39" ht="24.95" customHeight="1">
      <c r="A639" s="17" t="s">
        <v>676</v>
      </c>
      <c r="B639" s="8">
        <v>0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8"/>
      <c r="N639" s="8"/>
      <c r="O639" s="8"/>
      <c r="P639" s="8"/>
      <c r="Q639" s="8"/>
      <c r="R639" s="8"/>
      <c r="S639" s="8"/>
      <c r="T639" s="8"/>
      <c r="U639" s="18"/>
      <c r="V639" s="18"/>
      <c r="W639" s="18"/>
      <c r="X639" s="18"/>
      <c r="Y639" s="18"/>
      <c r="Z639" s="8"/>
      <c r="AA639" s="18"/>
      <c r="AB639" s="18"/>
      <c r="AC639" s="8"/>
      <c r="AD639" s="18"/>
      <c r="AE639" s="18"/>
      <c r="AF639" s="8"/>
      <c r="AG639" s="18"/>
      <c r="AH639" s="8"/>
      <c r="AI639" s="8"/>
      <c r="AJ639" s="8"/>
      <c r="AK639" s="8">
        <f t="shared" si="34"/>
        <v>0</v>
      </c>
      <c r="AL639" s="8">
        <f t="shared" si="35"/>
        <v>0</v>
      </c>
      <c r="AM639" s="9"/>
    </row>
    <row r="640" spans="1:39" ht="24.95" customHeight="1">
      <c r="A640" s="17" t="s">
        <v>677</v>
      </c>
      <c r="B640" s="8">
        <v>2154</v>
      </c>
      <c r="C640" s="8"/>
      <c r="D640" s="8"/>
      <c r="E640" s="8"/>
      <c r="F640" s="8"/>
      <c r="G640" s="8"/>
      <c r="H640" s="8"/>
      <c r="I640" s="8"/>
      <c r="J640" s="8"/>
      <c r="K640" s="8"/>
      <c r="L640" s="8">
        <v>5000</v>
      </c>
      <c r="M640" s="18"/>
      <c r="N640" s="8"/>
      <c r="O640" s="8"/>
      <c r="P640" s="8"/>
      <c r="Q640" s="8"/>
      <c r="R640" s="8"/>
      <c r="S640" s="8"/>
      <c r="T640" s="8"/>
      <c r="U640" s="18"/>
      <c r="V640" s="18"/>
      <c r="W640" s="18"/>
      <c r="X640" s="18"/>
      <c r="Y640" s="18"/>
      <c r="Z640" s="8"/>
      <c r="AA640" s="18">
        <f>+Z641*2+Z642*3</f>
        <v>0</v>
      </c>
      <c r="AB640" s="18"/>
      <c r="AC640" s="8">
        <f>+AB640</f>
        <v>0</v>
      </c>
      <c r="AD640" s="18"/>
      <c r="AE640" s="18"/>
      <c r="AF640" s="8"/>
      <c r="AG640" s="18"/>
      <c r="AH640" s="8"/>
      <c r="AI640" s="8"/>
      <c r="AJ640" s="8">
        <v>1785</v>
      </c>
      <c r="AK640" s="8">
        <f t="shared" si="34"/>
        <v>3215</v>
      </c>
      <c r="AL640" s="8">
        <f t="shared" si="35"/>
        <v>5369</v>
      </c>
      <c r="AM640" s="9"/>
    </row>
    <row r="641" spans="1:39" ht="24.95" customHeight="1">
      <c r="A641" s="17" t="s">
        <v>678</v>
      </c>
      <c r="B641" s="8">
        <v>0</v>
      </c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8"/>
      <c r="N641" s="8"/>
      <c r="O641" s="8"/>
      <c r="P641" s="8"/>
      <c r="Q641" s="8"/>
      <c r="R641" s="8"/>
      <c r="S641" s="8"/>
      <c r="T641" s="8"/>
      <c r="U641" s="18"/>
      <c r="V641" s="18"/>
      <c r="W641" s="18"/>
      <c r="X641" s="18"/>
      <c r="Y641" s="18"/>
      <c r="Z641" s="8"/>
      <c r="AA641" s="18"/>
      <c r="AB641" s="18"/>
      <c r="AC641" s="8"/>
      <c r="AD641" s="18"/>
      <c r="AE641" s="18"/>
      <c r="AF641" s="8"/>
      <c r="AG641" s="18"/>
      <c r="AH641" s="8"/>
      <c r="AI641" s="8"/>
      <c r="AJ641" s="8"/>
      <c r="AK641" s="8">
        <f t="shared" si="34"/>
        <v>0</v>
      </c>
      <c r="AL641" s="8">
        <f t="shared" si="35"/>
        <v>0</v>
      </c>
      <c r="AM641" s="9"/>
    </row>
    <row r="642" spans="1:39" ht="24.95" customHeight="1">
      <c r="A642" s="17" t="s">
        <v>679</v>
      </c>
      <c r="B642" s="8">
        <v>0</v>
      </c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8"/>
      <c r="N642" s="8"/>
      <c r="O642" s="8"/>
      <c r="P642" s="8"/>
      <c r="Q642" s="8"/>
      <c r="R642" s="8"/>
      <c r="S642" s="8"/>
      <c r="T642" s="8"/>
      <c r="U642" s="18"/>
      <c r="V642" s="18"/>
      <c r="W642" s="18"/>
      <c r="X642" s="18"/>
      <c r="Y642" s="18"/>
      <c r="Z642" s="8"/>
      <c r="AA642" s="18"/>
      <c r="AB642" s="18"/>
      <c r="AC642" s="8"/>
      <c r="AD642" s="18"/>
      <c r="AE642" s="18"/>
      <c r="AF642" s="8"/>
      <c r="AG642" s="18"/>
      <c r="AH642" s="8"/>
      <c r="AI642" s="8"/>
      <c r="AJ642" s="8"/>
      <c r="AK642" s="8">
        <f t="shared" si="34"/>
        <v>0</v>
      </c>
      <c r="AL642" s="8">
        <f t="shared" si="35"/>
        <v>0</v>
      </c>
      <c r="AM642" s="9"/>
    </row>
    <row r="643" spans="1:39" ht="24.95" customHeight="1">
      <c r="A643" s="17" t="s">
        <v>680</v>
      </c>
      <c r="B643" s="8">
        <v>1044</v>
      </c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8"/>
      <c r="N643" s="8"/>
      <c r="O643" s="8"/>
      <c r="P643" s="8"/>
      <c r="Q643" s="8"/>
      <c r="R643" s="8"/>
      <c r="S643" s="8"/>
      <c r="T643" s="8"/>
      <c r="U643" s="18"/>
      <c r="V643" s="18"/>
      <c r="W643" s="18"/>
      <c r="X643" s="18"/>
      <c r="Y643" s="18"/>
      <c r="Z643" s="8"/>
      <c r="AA643" s="18">
        <f>+Z644*2+Z645*3</f>
        <v>0</v>
      </c>
      <c r="AB643" s="18"/>
      <c r="AC643" s="8">
        <f>+AB643</f>
        <v>0</v>
      </c>
      <c r="AD643" s="18"/>
      <c r="AE643" s="18"/>
      <c r="AF643" s="8"/>
      <c r="AG643" s="18"/>
      <c r="AH643" s="8"/>
      <c r="AI643" s="8"/>
      <c r="AJ643" s="8">
        <v>4</v>
      </c>
      <c r="AK643" s="8">
        <f t="shared" si="34"/>
        <v>-4</v>
      </c>
      <c r="AL643" s="8">
        <f t="shared" si="35"/>
        <v>1040</v>
      </c>
      <c r="AM643" s="9"/>
    </row>
    <row r="644" spans="1:39" ht="24.95" customHeight="1">
      <c r="A644" s="17" t="s">
        <v>681</v>
      </c>
      <c r="B644" s="8">
        <v>1690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8"/>
      <c r="N644" s="8"/>
      <c r="O644" s="8"/>
      <c r="P644" s="8"/>
      <c r="Q644" s="8"/>
      <c r="R644" s="8"/>
      <c r="S644" s="8"/>
      <c r="T644" s="8"/>
      <c r="U644" s="18"/>
      <c r="V644" s="18"/>
      <c r="W644" s="18"/>
      <c r="X644" s="18"/>
      <c r="Y644" s="18"/>
      <c r="Z644" s="8"/>
      <c r="AA644" s="18"/>
      <c r="AB644" s="18"/>
      <c r="AC644" s="8"/>
      <c r="AD644" s="18"/>
      <c r="AE644" s="18"/>
      <c r="AF644" s="8"/>
      <c r="AG644" s="18"/>
      <c r="AH644" s="8"/>
      <c r="AI644" s="8"/>
      <c r="AJ644" s="8"/>
      <c r="AK644" s="8">
        <f t="shared" si="34"/>
        <v>0</v>
      </c>
      <c r="AL644" s="8">
        <f t="shared" si="35"/>
        <v>1690</v>
      </c>
      <c r="AM644" s="9"/>
    </row>
    <row r="645" spans="1:39" ht="24.95" customHeight="1">
      <c r="A645" s="17" t="s">
        <v>682</v>
      </c>
      <c r="B645" s="8">
        <v>720</v>
      </c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8"/>
      <c r="N645" s="8"/>
      <c r="O645" s="8"/>
      <c r="P645" s="8"/>
      <c r="Q645" s="8"/>
      <c r="R645" s="8"/>
      <c r="S645" s="8"/>
      <c r="T645" s="8"/>
      <c r="U645" s="18"/>
      <c r="V645" s="18"/>
      <c r="W645" s="18"/>
      <c r="X645" s="18"/>
      <c r="Y645" s="18"/>
      <c r="Z645" s="8"/>
      <c r="AA645" s="18"/>
      <c r="AB645" s="18"/>
      <c r="AC645" s="8"/>
      <c r="AD645" s="18"/>
      <c r="AE645" s="18"/>
      <c r="AF645" s="8"/>
      <c r="AG645" s="18"/>
      <c r="AH645" s="8"/>
      <c r="AI645" s="8"/>
      <c r="AJ645" s="8"/>
      <c r="AK645" s="8">
        <f t="shared" si="34"/>
        <v>0</v>
      </c>
      <c r="AL645" s="8">
        <f t="shared" si="35"/>
        <v>720</v>
      </c>
      <c r="AM645" s="9"/>
    </row>
    <row r="646" spans="1:39" ht="24.95" customHeight="1">
      <c r="A646" s="17" t="s">
        <v>683</v>
      </c>
      <c r="B646" s="8">
        <v>9</v>
      </c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8"/>
      <c r="N646" s="8"/>
      <c r="O646" s="8"/>
      <c r="P646" s="8"/>
      <c r="Q646" s="8"/>
      <c r="R646" s="8"/>
      <c r="S646" s="8"/>
      <c r="T646" s="8"/>
      <c r="U646" s="18"/>
      <c r="V646" s="18"/>
      <c r="W646" s="18"/>
      <c r="X646" s="18"/>
      <c r="Y646" s="18"/>
      <c r="Z646" s="8"/>
      <c r="AA646" s="18"/>
      <c r="AB646" s="18"/>
      <c r="AC646" s="8">
        <f t="shared" ref="AC646:AC665" si="37">+AB646</f>
        <v>0</v>
      </c>
      <c r="AD646" s="18"/>
      <c r="AE646" s="18"/>
      <c r="AF646" s="8"/>
      <c r="AG646" s="18"/>
      <c r="AH646" s="8"/>
      <c r="AI646" s="8"/>
      <c r="AJ646" s="8"/>
      <c r="AK646" s="8">
        <f t="shared" si="34"/>
        <v>0</v>
      </c>
      <c r="AL646" s="8">
        <f t="shared" si="35"/>
        <v>9</v>
      </c>
      <c r="AM646" s="9"/>
    </row>
    <row r="647" spans="1:39" ht="24.95" customHeight="1">
      <c r="A647" s="17" t="s">
        <v>684</v>
      </c>
      <c r="B647" s="8">
        <v>93</v>
      </c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8"/>
      <c r="N647" s="8"/>
      <c r="O647" s="8"/>
      <c r="P647" s="8"/>
      <c r="Q647" s="8"/>
      <c r="R647" s="8"/>
      <c r="S647" s="8"/>
      <c r="T647" s="8"/>
      <c r="U647" s="18"/>
      <c r="V647" s="18"/>
      <c r="W647" s="18"/>
      <c r="X647" s="18"/>
      <c r="Y647" s="18"/>
      <c r="Z647" s="8"/>
      <c r="AA647" s="18"/>
      <c r="AB647" s="18"/>
      <c r="AC647" s="8">
        <f t="shared" si="37"/>
        <v>0</v>
      </c>
      <c r="AD647" s="18"/>
      <c r="AE647" s="18"/>
      <c r="AF647" s="8"/>
      <c r="AG647" s="18"/>
      <c r="AH647" s="8"/>
      <c r="AI647" s="8"/>
      <c r="AJ647" s="8"/>
      <c r="AK647" s="8">
        <f t="shared" si="34"/>
        <v>0</v>
      </c>
      <c r="AL647" s="8">
        <f t="shared" si="35"/>
        <v>93</v>
      </c>
      <c r="AM647" s="9"/>
    </row>
    <row r="648" spans="1:39" ht="24.95" customHeight="1">
      <c r="A648" s="17" t="s">
        <v>685</v>
      </c>
      <c r="B648" s="8">
        <v>0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18"/>
      <c r="N648" s="8"/>
      <c r="O648" s="8"/>
      <c r="P648" s="8"/>
      <c r="Q648" s="8"/>
      <c r="R648" s="8"/>
      <c r="S648" s="8"/>
      <c r="T648" s="8"/>
      <c r="U648" s="18"/>
      <c r="V648" s="18"/>
      <c r="W648" s="18"/>
      <c r="X648" s="18"/>
      <c r="Y648" s="18"/>
      <c r="Z648" s="8"/>
      <c r="AA648" s="18"/>
      <c r="AB648" s="18"/>
      <c r="AC648" s="8">
        <f t="shared" si="37"/>
        <v>0</v>
      </c>
      <c r="AD648" s="18"/>
      <c r="AE648" s="18"/>
      <c r="AF648" s="8"/>
      <c r="AG648" s="18"/>
      <c r="AH648" s="8"/>
      <c r="AI648" s="8"/>
      <c r="AJ648" s="8"/>
      <c r="AK648" s="8">
        <f t="shared" si="34"/>
        <v>0</v>
      </c>
      <c r="AL648" s="8">
        <f t="shared" si="35"/>
        <v>0</v>
      </c>
      <c r="AM648" s="9"/>
    </row>
    <row r="649" spans="1:39" ht="24.95" customHeight="1">
      <c r="A649" s="17" t="s">
        <v>686</v>
      </c>
      <c r="B649" s="8">
        <v>0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18"/>
      <c r="N649" s="8"/>
      <c r="O649" s="8"/>
      <c r="P649" s="8"/>
      <c r="Q649" s="8"/>
      <c r="R649" s="8"/>
      <c r="S649" s="8"/>
      <c r="T649" s="8"/>
      <c r="U649" s="18"/>
      <c r="V649" s="18"/>
      <c r="W649" s="18"/>
      <c r="X649" s="18"/>
      <c r="Y649" s="18"/>
      <c r="Z649" s="8"/>
      <c r="AA649" s="18"/>
      <c r="AB649" s="18"/>
      <c r="AC649" s="8">
        <f t="shared" si="37"/>
        <v>0</v>
      </c>
      <c r="AD649" s="18"/>
      <c r="AE649" s="18"/>
      <c r="AF649" s="8"/>
      <c r="AG649" s="18"/>
      <c r="AH649" s="8"/>
      <c r="AI649" s="8"/>
      <c r="AJ649" s="8"/>
      <c r="AK649" s="8">
        <f t="shared" si="34"/>
        <v>0</v>
      </c>
      <c r="AL649" s="8">
        <f t="shared" si="35"/>
        <v>0</v>
      </c>
      <c r="AM649" s="9"/>
    </row>
    <row r="650" spans="1:39" ht="24.95" customHeight="1">
      <c r="A650" s="17" t="s">
        <v>687</v>
      </c>
      <c r="B650" s="8">
        <v>0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18"/>
      <c r="N650" s="8"/>
      <c r="O650" s="8"/>
      <c r="P650" s="8"/>
      <c r="Q650" s="8"/>
      <c r="R650" s="8"/>
      <c r="S650" s="8"/>
      <c r="T650" s="8"/>
      <c r="U650" s="18"/>
      <c r="V650" s="18"/>
      <c r="W650" s="18"/>
      <c r="X650" s="18"/>
      <c r="Y650" s="18"/>
      <c r="Z650" s="8"/>
      <c r="AA650" s="18"/>
      <c r="AB650" s="18"/>
      <c r="AC650" s="8">
        <f t="shared" si="37"/>
        <v>0</v>
      </c>
      <c r="AD650" s="18"/>
      <c r="AE650" s="18"/>
      <c r="AF650" s="8"/>
      <c r="AG650" s="18"/>
      <c r="AH650" s="8"/>
      <c r="AI650" s="8"/>
      <c r="AJ650" s="8"/>
      <c r="AK650" s="8">
        <f t="shared" si="34"/>
        <v>0</v>
      </c>
      <c r="AL650" s="8">
        <f t="shared" si="35"/>
        <v>0</v>
      </c>
      <c r="AM650" s="9"/>
    </row>
    <row r="651" spans="1:39" ht="24.95" customHeight="1">
      <c r="A651" s="17" t="s">
        <v>688</v>
      </c>
      <c r="B651" s="8">
        <v>0</v>
      </c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18"/>
      <c r="N651" s="8"/>
      <c r="O651" s="8"/>
      <c r="P651" s="8"/>
      <c r="Q651" s="8"/>
      <c r="R651" s="8"/>
      <c r="S651" s="8"/>
      <c r="T651" s="8"/>
      <c r="U651" s="18"/>
      <c r="V651" s="18"/>
      <c r="W651" s="18"/>
      <c r="X651" s="18"/>
      <c r="Y651" s="18"/>
      <c r="Z651" s="8"/>
      <c r="AA651" s="18"/>
      <c r="AB651" s="18"/>
      <c r="AC651" s="8">
        <f t="shared" si="37"/>
        <v>0</v>
      </c>
      <c r="AD651" s="18"/>
      <c r="AE651" s="18"/>
      <c r="AF651" s="8"/>
      <c r="AG651" s="18"/>
      <c r="AH651" s="8"/>
      <c r="AI651" s="8"/>
      <c r="AJ651" s="8"/>
      <c r="AK651" s="8">
        <f t="shared" si="34"/>
        <v>0</v>
      </c>
      <c r="AL651" s="8">
        <f t="shared" si="35"/>
        <v>0</v>
      </c>
      <c r="AM651" s="9"/>
    </row>
    <row r="652" spans="1:39" ht="24.95" customHeight="1">
      <c r="A652" s="17" t="s">
        <v>689</v>
      </c>
      <c r="B652" s="8">
        <v>0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18"/>
      <c r="N652" s="8"/>
      <c r="O652" s="8"/>
      <c r="P652" s="8"/>
      <c r="Q652" s="8"/>
      <c r="R652" s="8"/>
      <c r="S652" s="8"/>
      <c r="T652" s="8"/>
      <c r="U652" s="18"/>
      <c r="V652" s="18"/>
      <c r="W652" s="18"/>
      <c r="X652" s="18"/>
      <c r="Y652" s="18"/>
      <c r="Z652" s="8"/>
      <c r="AA652" s="18"/>
      <c r="AB652" s="18"/>
      <c r="AC652" s="8">
        <f t="shared" si="37"/>
        <v>0</v>
      </c>
      <c r="AD652" s="18"/>
      <c r="AE652" s="18"/>
      <c r="AF652" s="8"/>
      <c r="AG652" s="18"/>
      <c r="AH652" s="8"/>
      <c r="AI652" s="8"/>
      <c r="AJ652" s="8"/>
      <c r="AK652" s="8">
        <f t="shared" si="34"/>
        <v>0</v>
      </c>
      <c r="AL652" s="8">
        <f t="shared" si="35"/>
        <v>0</v>
      </c>
      <c r="AM652" s="9"/>
    </row>
    <row r="653" spans="1:39" ht="24.95" customHeight="1">
      <c r="A653" s="17" t="s">
        <v>690</v>
      </c>
      <c r="B653" s="8">
        <v>0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18"/>
      <c r="N653" s="8"/>
      <c r="O653" s="8"/>
      <c r="P653" s="8"/>
      <c r="Q653" s="8"/>
      <c r="R653" s="8"/>
      <c r="S653" s="8"/>
      <c r="T653" s="8"/>
      <c r="U653" s="18"/>
      <c r="V653" s="18"/>
      <c r="W653" s="18"/>
      <c r="X653" s="18"/>
      <c r="Y653" s="18"/>
      <c r="Z653" s="8"/>
      <c r="AA653" s="18"/>
      <c r="AB653" s="18"/>
      <c r="AC653" s="8">
        <f t="shared" si="37"/>
        <v>0</v>
      </c>
      <c r="AD653" s="18"/>
      <c r="AE653" s="18"/>
      <c r="AF653" s="8"/>
      <c r="AG653" s="18"/>
      <c r="AH653" s="8"/>
      <c r="AI653" s="8"/>
      <c r="AJ653" s="8"/>
      <c r="AK653" s="8">
        <f t="shared" si="34"/>
        <v>0</v>
      </c>
      <c r="AL653" s="8">
        <f t="shared" si="35"/>
        <v>0</v>
      </c>
      <c r="AM653" s="9"/>
    </row>
    <row r="654" spans="1:39" ht="24.95" customHeight="1">
      <c r="A654" s="17" t="s">
        <v>691</v>
      </c>
      <c r="B654" s="8">
        <v>0</v>
      </c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18"/>
      <c r="N654" s="8"/>
      <c r="O654" s="8"/>
      <c r="P654" s="8"/>
      <c r="Q654" s="8"/>
      <c r="R654" s="8"/>
      <c r="S654" s="8"/>
      <c r="T654" s="8"/>
      <c r="U654" s="18"/>
      <c r="V654" s="18"/>
      <c r="W654" s="18"/>
      <c r="X654" s="18"/>
      <c r="Y654" s="18"/>
      <c r="Z654" s="8"/>
      <c r="AA654" s="18"/>
      <c r="AB654" s="18"/>
      <c r="AC654" s="8">
        <f t="shared" si="37"/>
        <v>0</v>
      </c>
      <c r="AD654" s="18"/>
      <c r="AE654" s="18"/>
      <c r="AF654" s="8"/>
      <c r="AG654" s="18"/>
      <c r="AH654" s="8"/>
      <c r="AI654" s="8"/>
      <c r="AJ654" s="8"/>
      <c r="AK654" s="8">
        <f t="shared" si="34"/>
        <v>0</v>
      </c>
      <c r="AL654" s="8">
        <f t="shared" si="35"/>
        <v>0</v>
      </c>
      <c r="AM654" s="9"/>
    </row>
    <row r="655" spans="1:39" ht="24.95" customHeight="1">
      <c r="A655" s="17" t="s">
        <v>692</v>
      </c>
      <c r="B655" s="8">
        <v>0</v>
      </c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18"/>
      <c r="N655" s="8"/>
      <c r="O655" s="8"/>
      <c r="P655" s="8"/>
      <c r="Q655" s="8"/>
      <c r="R655" s="8"/>
      <c r="S655" s="8"/>
      <c r="T655" s="8"/>
      <c r="U655" s="18"/>
      <c r="V655" s="18"/>
      <c r="W655" s="18"/>
      <c r="X655" s="18"/>
      <c r="Y655" s="18"/>
      <c r="Z655" s="8"/>
      <c r="AA655" s="18"/>
      <c r="AB655" s="18"/>
      <c r="AC655" s="8">
        <f t="shared" si="37"/>
        <v>0</v>
      </c>
      <c r="AD655" s="18"/>
      <c r="AE655" s="18"/>
      <c r="AF655" s="8"/>
      <c r="AG655" s="18"/>
      <c r="AH655" s="8"/>
      <c r="AI655" s="8"/>
      <c r="AJ655" s="8"/>
      <c r="AK655" s="8">
        <f t="shared" si="34"/>
        <v>0</v>
      </c>
      <c r="AL655" s="8">
        <f t="shared" si="35"/>
        <v>0</v>
      </c>
      <c r="AM655" s="9"/>
    </row>
    <row r="656" spans="1:39" ht="24.95" customHeight="1">
      <c r="A656" s="17" t="s">
        <v>693</v>
      </c>
      <c r="B656" s="8">
        <v>0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18"/>
      <c r="N656" s="8"/>
      <c r="O656" s="8"/>
      <c r="P656" s="8"/>
      <c r="Q656" s="8"/>
      <c r="R656" s="8"/>
      <c r="S656" s="8"/>
      <c r="T656" s="8"/>
      <c r="U656" s="18"/>
      <c r="V656" s="18"/>
      <c r="W656" s="18"/>
      <c r="X656" s="18"/>
      <c r="Y656" s="18"/>
      <c r="Z656" s="8"/>
      <c r="AA656" s="18"/>
      <c r="AB656" s="18"/>
      <c r="AC656" s="8">
        <f t="shared" si="37"/>
        <v>0</v>
      </c>
      <c r="AD656" s="18"/>
      <c r="AE656" s="18"/>
      <c r="AF656" s="8"/>
      <c r="AG656" s="18"/>
      <c r="AH656" s="8"/>
      <c r="AI656" s="8"/>
      <c r="AJ656" s="8"/>
      <c r="AK656" s="8">
        <f t="shared" si="34"/>
        <v>0</v>
      </c>
      <c r="AL656" s="8">
        <f t="shared" si="35"/>
        <v>0</v>
      </c>
      <c r="AM656" s="9"/>
    </row>
    <row r="657" spans="1:39" ht="24.95" customHeight="1">
      <c r="A657" s="17" t="s">
        <v>694</v>
      </c>
      <c r="B657" s="8">
        <v>87</v>
      </c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18"/>
      <c r="N657" s="8"/>
      <c r="O657" s="8"/>
      <c r="P657" s="8"/>
      <c r="Q657" s="8"/>
      <c r="R657" s="8"/>
      <c r="S657" s="8"/>
      <c r="T657" s="8"/>
      <c r="U657" s="18"/>
      <c r="V657" s="18"/>
      <c r="W657" s="18"/>
      <c r="X657" s="18"/>
      <c r="Y657" s="18"/>
      <c r="Z657" s="8"/>
      <c r="AA657" s="18"/>
      <c r="AB657" s="18"/>
      <c r="AC657" s="8">
        <f t="shared" si="37"/>
        <v>0</v>
      </c>
      <c r="AD657" s="18"/>
      <c r="AE657" s="18"/>
      <c r="AF657" s="8"/>
      <c r="AG657" s="18"/>
      <c r="AH657" s="8"/>
      <c r="AI657" s="8"/>
      <c r="AJ657" s="8"/>
      <c r="AK657" s="8">
        <f t="shared" si="34"/>
        <v>0</v>
      </c>
      <c r="AL657" s="8">
        <f t="shared" si="35"/>
        <v>87</v>
      </c>
      <c r="AM657" s="9"/>
    </row>
    <row r="658" spans="1:39" ht="24.95" customHeight="1">
      <c r="A658" s="17" t="s">
        <v>695</v>
      </c>
      <c r="B658" s="8">
        <v>0</v>
      </c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18"/>
      <c r="N658" s="8"/>
      <c r="O658" s="8"/>
      <c r="P658" s="8"/>
      <c r="Q658" s="8"/>
      <c r="R658" s="8"/>
      <c r="S658" s="8"/>
      <c r="T658" s="8"/>
      <c r="U658" s="18"/>
      <c r="V658" s="18"/>
      <c r="W658" s="18"/>
      <c r="X658" s="18"/>
      <c r="Y658" s="18"/>
      <c r="Z658" s="8"/>
      <c r="AA658" s="18"/>
      <c r="AB658" s="18"/>
      <c r="AC658" s="8">
        <f t="shared" si="37"/>
        <v>0</v>
      </c>
      <c r="AD658" s="18"/>
      <c r="AE658" s="18"/>
      <c r="AF658" s="8"/>
      <c r="AG658" s="18"/>
      <c r="AH658" s="8"/>
      <c r="AI658" s="8"/>
      <c r="AJ658" s="8"/>
      <c r="AK658" s="8">
        <f t="shared" si="34"/>
        <v>0</v>
      </c>
      <c r="AL658" s="8">
        <f t="shared" si="35"/>
        <v>0</v>
      </c>
      <c r="AM658" s="9"/>
    </row>
    <row r="659" spans="1:39" ht="24.95" customHeight="1">
      <c r="A659" s="17" t="s">
        <v>696</v>
      </c>
      <c r="B659" s="8">
        <v>92</v>
      </c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18"/>
      <c r="N659" s="8"/>
      <c r="O659" s="8"/>
      <c r="P659" s="8"/>
      <c r="Q659" s="8"/>
      <c r="R659" s="8"/>
      <c r="S659" s="8"/>
      <c r="T659" s="8"/>
      <c r="U659" s="18"/>
      <c r="V659" s="18"/>
      <c r="W659" s="18"/>
      <c r="X659" s="18"/>
      <c r="Y659" s="18"/>
      <c r="Z659" s="8"/>
      <c r="AA659" s="18"/>
      <c r="AB659" s="18"/>
      <c r="AC659" s="8">
        <f t="shared" si="37"/>
        <v>0</v>
      </c>
      <c r="AD659" s="18"/>
      <c r="AE659" s="18"/>
      <c r="AF659" s="8"/>
      <c r="AG659" s="18"/>
      <c r="AH659" s="8"/>
      <c r="AI659" s="8"/>
      <c r="AJ659" s="8"/>
      <c r="AK659" s="8">
        <f t="shared" ref="AK659:AK724" si="38">SUM((D659+P659+G659+L659+S659+X659+Z659+AD659+M659+J659+V659+AB659+F659+AG659+O659+AI659)+(-N659-E659-R659-Q659-T659-Y659-AA659-AE659-AJ659-K659-I659-H659-U659-AC659-AF659-AH659-W659))</f>
        <v>0</v>
      </c>
      <c r="AL659" s="8">
        <f t="shared" ref="AL659:AL724" si="39">B659+AK659</f>
        <v>92</v>
      </c>
      <c r="AM659" s="9"/>
    </row>
    <row r="660" spans="1:39" ht="24.95" customHeight="1">
      <c r="A660" s="17" t="s">
        <v>697</v>
      </c>
      <c r="B660" s="8">
        <v>0</v>
      </c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18"/>
      <c r="N660" s="8"/>
      <c r="O660" s="8"/>
      <c r="P660" s="8"/>
      <c r="Q660" s="8"/>
      <c r="R660" s="8"/>
      <c r="S660" s="8"/>
      <c r="T660" s="8"/>
      <c r="U660" s="18"/>
      <c r="V660" s="18"/>
      <c r="W660" s="18"/>
      <c r="X660" s="18"/>
      <c r="Y660" s="18"/>
      <c r="Z660" s="8"/>
      <c r="AA660" s="18"/>
      <c r="AB660" s="18"/>
      <c r="AC660" s="8">
        <f t="shared" si="37"/>
        <v>0</v>
      </c>
      <c r="AD660" s="18"/>
      <c r="AE660" s="18"/>
      <c r="AF660" s="8"/>
      <c r="AG660" s="18"/>
      <c r="AH660" s="8"/>
      <c r="AI660" s="8"/>
      <c r="AJ660" s="8"/>
      <c r="AK660" s="8">
        <f t="shared" si="38"/>
        <v>0</v>
      </c>
      <c r="AL660" s="8">
        <f t="shared" si="39"/>
        <v>0</v>
      </c>
      <c r="AM660" s="9"/>
    </row>
    <row r="661" spans="1:39" ht="24.95" customHeight="1">
      <c r="A661" s="17" t="s">
        <v>698</v>
      </c>
      <c r="B661" s="8">
        <v>30</v>
      </c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18"/>
      <c r="N661" s="8"/>
      <c r="O661" s="8"/>
      <c r="P661" s="8"/>
      <c r="Q661" s="8"/>
      <c r="R661" s="8"/>
      <c r="S661" s="8"/>
      <c r="T661" s="8"/>
      <c r="U661" s="18"/>
      <c r="V661" s="18"/>
      <c r="W661" s="18"/>
      <c r="X661" s="18"/>
      <c r="Y661" s="18"/>
      <c r="Z661" s="8"/>
      <c r="AA661" s="18"/>
      <c r="AB661" s="18"/>
      <c r="AC661" s="8">
        <f t="shared" si="37"/>
        <v>0</v>
      </c>
      <c r="AD661" s="18"/>
      <c r="AE661" s="18"/>
      <c r="AF661" s="8"/>
      <c r="AG661" s="18"/>
      <c r="AH661" s="8"/>
      <c r="AI661" s="8"/>
      <c r="AJ661" s="8"/>
      <c r="AK661" s="8">
        <f t="shared" si="38"/>
        <v>0</v>
      </c>
      <c r="AL661" s="8">
        <f t="shared" si="39"/>
        <v>30</v>
      </c>
      <c r="AM661" s="9"/>
    </row>
    <row r="662" spans="1:39" ht="24.95" customHeight="1">
      <c r="A662" s="17" t="s">
        <v>699</v>
      </c>
      <c r="B662" s="8">
        <v>0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18"/>
      <c r="N662" s="8"/>
      <c r="O662" s="8"/>
      <c r="P662" s="8"/>
      <c r="Q662" s="8"/>
      <c r="R662" s="8"/>
      <c r="S662" s="8"/>
      <c r="T662" s="8"/>
      <c r="U662" s="18"/>
      <c r="V662" s="18"/>
      <c r="W662" s="18"/>
      <c r="X662" s="18"/>
      <c r="Y662" s="18"/>
      <c r="Z662" s="8"/>
      <c r="AA662" s="18"/>
      <c r="AB662" s="18"/>
      <c r="AC662" s="8">
        <f t="shared" si="37"/>
        <v>0</v>
      </c>
      <c r="AD662" s="18"/>
      <c r="AE662" s="18"/>
      <c r="AF662" s="8"/>
      <c r="AG662" s="18"/>
      <c r="AH662" s="8"/>
      <c r="AI662" s="8"/>
      <c r="AJ662" s="8"/>
      <c r="AK662" s="8">
        <f t="shared" si="38"/>
        <v>0</v>
      </c>
      <c r="AL662" s="8">
        <f t="shared" si="39"/>
        <v>0</v>
      </c>
      <c r="AM662" s="9"/>
    </row>
    <row r="663" spans="1:39" ht="24.95" customHeight="1">
      <c r="A663" s="17" t="s">
        <v>700</v>
      </c>
      <c r="B663" s="8">
        <v>93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18"/>
      <c r="N663" s="8"/>
      <c r="O663" s="8"/>
      <c r="P663" s="8"/>
      <c r="Q663" s="8"/>
      <c r="R663" s="8"/>
      <c r="S663" s="8"/>
      <c r="T663" s="8"/>
      <c r="U663" s="18"/>
      <c r="V663" s="18"/>
      <c r="W663" s="18"/>
      <c r="X663" s="18"/>
      <c r="Y663" s="18"/>
      <c r="Z663" s="8"/>
      <c r="AA663" s="18"/>
      <c r="AB663" s="18"/>
      <c r="AC663" s="8">
        <f t="shared" si="37"/>
        <v>0</v>
      </c>
      <c r="AD663" s="18"/>
      <c r="AE663" s="18"/>
      <c r="AF663" s="8"/>
      <c r="AG663" s="18"/>
      <c r="AH663" s="8"/>
      <c r="AI663" s="8"/>
      <c r="AJ663" s="8"/>
      <c r="AK663" s="8">
        <f t="shared" si="38"/>
        <v>0</v>
      </c>
      <c r="AL663" s="8">
        <f t="shared" si="39"/>
        <v>93</v>
      </c>
      <c r="AM663" s="9"/>
    </row>
    <row r="664" spans="1:39" ht="24.95" customHeight="1">
      <c r="A664" s="17" t="s">
        <v>701</v>
      </c>
      <c r="B664" s="8">
        <v>97</v>
      </c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18"/>
      <c r="N664" s="8"/>
      <c r="O664" s="8"/>
      <c r="P664" s="8"/>
      <c r="Q664" s="8"/>
      <c r="R664" s="8"/>
      <c r="S664" s="8"/>
      <c r="T664" s="8"/>
      <c r="U664" s="18"/>
      <c r="V664" s="18"/>
      <c r="W664" s="18"/>
      <c r="X664" s="18"/>
      <c r="Y664" s="18"/>
      <c r="Z664" s="8"/>
      <c r="AA664" s="18"/>
      <c r="AB664" s="18"/>
      <c r="AC664" s="8">
        <f t="shared" si="37"/>
        <v>0</v>
      </c>
      <c r="AD664" s="18"/>
      <c r="AE664" s="18"/>
      <c r="AF664" s="8"/>
      <c r="AG664" s="18"/>
      <c r="AH664" s="8"/>
      <c r="AI664" s="8"/>
      <c r="AJ664" s="8"/>
      <c r="AK664" s="8">
        <f t="shared" si="38"/>
        <v>0</v>
      </c>
      <c r="AL664" s="8">
        <f t="shared" si="39"/>
        <v>97</v>
      </c>
      <c r="AM664" s="9"/>
    </row>
    <row r="665" spans="1:39" ht="24.95" customHeight="1">
      <c r="A665" s="17" t="s">
        <v>702</v>
      </c>
      <c r="B665" s="8">
        <v>0</v>
      </c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18"/>
      <c r="N665" s="8"/>
      <c r="O665" s="8"/>
      <c r="P665" s="8"/>
      <c r="Q665" s="8"/>
      <c r="R665" s="8"/>
      <c r="S665" s="8"/>
      <c r="T665" s="8"/>
      <c r="U665" s="18"/>
      <c r="V665" s="18"/>
      <c r="W665" s="18"/>
      <c r="X665" s="18"/>
      <c r="Y665" s="18"/>
      <c r="Z665" s="8"/>
      <c r="AA665" s="18"/>
      <c r="AB665" s="18"/>
      <c r="AC665" s="8">
        <f t="shared" si="37"/>
        <v>0</v>
      </c>
      <c r="AD665" s="18"/>
      <c r="AE665" s="18"/>
      <c r="AF665" s="8"/>
      <c r="AG665" s="18"/>
      <c r="AH665" s="8"/>
      <c r="AI665" s="8"/>
      <c r="AJ665" s="8"/>
      <c r="AK665" s="8">
        <f t="shared" si="38"/>
        <v>0</v>
      </c>
      <c r="AL665" s="8">
        <f t="shared" si="39"/>
        <v>0</v>
      </c>
      <c r="AM665" s="9"/>
    </row>
    <row r="666" spans="1:39" ht="24.95" customHeight="1">
      <c r="A666" s="17" t="s">
        <v>703</v>
      </c>
      <c r="B666" s="8">
        <v>3470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18"/>
      <c r="N666" s="8"/>
      <c r="O666" s="8"/>
      <c r="P666" s="8"/>
      <c r="Q666" s="8"/>
      <c r="R666" s="8">
        <v>7</v>
      </c>
      <c r="S666" s="8"/>
      <c r="T666" s="8"/>
      <c r="U666" s="18"/>
      <c r="V666" s="18"/>
      <c r="W666" s="18"/>
      <c r="X666" s="18"/>
      <c r="Y666" s="18"/>
      <c r="Z666" s="8"/>
      <c r="AA666" s="18">
        <f>+Z667*2+Z668*3+Z669*4</f>
        <v>99</v>
      </c>
      <c r="AB666" s="18"/>
      <c r="AC666" s="8"/>
      <c r="AD666" s="18"/>
      <c r="AE666" s="18"/>
      <c r="AF666" s="8"/>
      <c r="AG666" s="18"/>
      <c r="AH666" s="8"/>
      <c r="AI666" s="8"/>
      <c r="AJ666" s="8">
        <v>160</v>
      </c>
      <c r="AK666" s="8">
        <f t="shared" si="38"/>
        <v>-266</v>
      </c>
      <c r="AL666" s="8">
        <f t="shared" si="39"/>
        <v>3204</v>
      </c>
      <c r="AM666" s="9"/>
    </row>
    <row r="667" spans="1:39" ht="24.95" customHeight="1">
      <c r="A667" s="17" t="s">
        <v>704</v>
      </c>
      <c r="B667" s="8">
        <v>0</v>
      </c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18"/>
      <c r="N667" s="8"/>
      <c r="O667" s="8"/>
      <c r="P667" s="8"/>
      <c r="Q667" s="8"/>
      <c r="R667" s="8">
        <v>16</v>
      </c>
      <c r="S667" s="8"/>
      <c r="T667" s="8"/>
      <c r="U667" s="18"/>
      <c r="V667" s="18"/>
      <c r="W667" s="18"/>
      <c r="X667" s="18"/>
      <c r="Y667" s="18"/>
      <c r="Z667" s="8">
        <v>32</v>
      </c>
      <c r="AA667" s="18"/>
      <c r="AB667" s="18"/>
      <c r="AC667" s="8"/>
      <c r="AD667" s="18"/>
      <c r="AE667" s="18"/>
      <c r="AF667" s="8"/>
      <c r="AG667" s="18"/>
      <c r="AH667" s="8"/>
      <c r="AI667" s="8"/>
      <c r="AJ667" s="8">
        <v>16</v>
      </c>
      <c r="AK667" s="8">
        <f t="shared" si="38"/>
        <v>0</v>
      </c>
      <c r="AL667" s="8">
        <f t="shared" si="39"/>
        <v>0</v>
      </c>
      <c r="AM667" s="9"/>
    </row>
    <row r="668" spans="1:39" ht="24.95" customHeight="1">
      <c r="A668" s="17" t="s">
        <v>705</v>
      </c>
      <c r="B668" s="8">
        <v>0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18"/>
      <c r="N668" s="8"/>
      <c r="O668" s="8"/>
      <c r="P668" s="8"/>
      <c r="Q668" s="8"/>
      <c r="R668" s="8">
        <v>9</v>
      </c>
      <c r="S668" s="8"/>
      <c r="T668" s="8"/>
      <c r="U668" s="18"/>
      <c r="V668" s="18"/>
      <c r="W668" s="18"/>
      <c r="X668" s="18"/>
      <c r="Y668" s="18"/>
      <c r="Z668" s="8">
        <v>9</v>
      </c>
      <c r="AA668" s="18"/>
      <c r="AB668" s="18"/>
      <c r="AC668" s="8"/>
      <c r="AD668" s="18"/>
      <c r="AE668" s="18"/>
      <c r="AF668" s="8"/>
      <c r="AG668" s="18"/>
      <c r="AH668" s="8"/>
      <c r="AI668" s="8"/>
      <c r="AJ668" s="8"/>
      <c r="AK668" s="8">
        <f t="shared" si="38"/>
        <v>0</v>
      </c>
      <c r="AL668" s="8">
        <f t="shared" si="39"/>
        <v>0</v>
      </c>
      <c r="AM668" s="9"/>
    </row>
    <row r="669" spans="1:39" ht="24.95" customHeight="1">
      <c r="A669" s="17" t="s">
        <v>706</v>
      </c>
      <c r="B669" s="8">
        <v>0</v>
      </c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18"/>
      <c r="N669" s="8"/>
      <c r="O669" s="8"/>
      <c r="P669" s="8"/>
      <c r="Q669" s="8"/>
      <c r="R669" s="8"/>
      <c r="S669" s="8"/>
      <c r="T669" s="8"/>
      <c r="U669" s="18"/>
      <c r="V669" s="18"/>
      <c r="W669" s="18"/>
      <c r="X669" s="18"/>
      <c r="Y669" s="18"/>
      <c r="Z669" s="8">
        <v>2</v>
      </c>
      <c r="AA669" s="18"/>
      <c r="AB669" s="18"/>
      <c r="AC669" s="8"/>
      <c r="AD669" s="18"/>
      <c r="AE669" s="18"/>
      <c r="AF669" s="8"/>
      <c r="AG669" s="18"/>
      <c r="AH669" s="8"/>
      <c r="AI669" s="8"/>
      <c r="AJ669" s="8">
        <v>2</v>
      </c>
      <c r="AK669" s="8">
        <f>SUM((D669+P669+G669+L669+S669+X669+Z669+AD669+M669+J669+V669+AB669+F669+AG669+O669+AI669)+(-N669-E669-R669-Q669-T669-Y669-AA669-AE669-AJ669-K669-I669-H669-U669-AC669-AF669-AH669-W669))</f>
        <v>0</v>
      </c>
      <c r="AL669" s="8">
        <f>B669+AK669</f>
        <v>0</v>
      </c>
      <c r="AM669" s="9"/>
    </row>
    <row r="670" spans="1:39" ht="24.95" customHeight="1">
      <c r="A670" s="17" t="s">
        <v>707</v>
      </c>
      <c r="B670" s="8">
        <v>0</v>
      </c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18"/>
      <c r="N670" s="8"/>
      <c r="O670" s="8"/>
      <c r="P670" s="8"/>
      <c r="Q670" s="8"/>
      <c r="R670" s="8"/>
      <c r="S670" s="8"/>
      <c r="T670" s="8"/>
      <c r="U670" s="18"/>
      <c r="V670" s="18"/>
      <c r="W670" s="18"/>
      <c r="X670" s="18"/>
      <c r="Y670" s="18"/>
      <c r="Z670" s="8"/>
      <c r="AA670" s="18"/>
      <c r="AB670" s="18"/>
      <c r="AC670" s="8">
        <f t="shared" ref="AC670:AC699" si="40">+AB670</f>
        <v>0</v>
      </c>
      <c r="AD670" s="18"/>
      <c r="AE670" s="18"/>
      <c r="AF670" s="8"/>
      <c r="AG670" s="18"/>
      <c r="AH670" s="8"/>
      <c r="AI670" s="8"/>
      <c r="AJ670" s="8"/>
      <c r="AK670" s="8">
        <f t="shared" si="38"/>
        <v>0</v>
      </c>
      <c r="AL670" s="8">
        <f t="shared" si="39"/>
        <v>0</v>
      </c>
      <c r="AM670" s="9"/>
    </row>
    <row r="671" spans="1:39" ht="24.95" customHeight="1">
      <c r="A671" s="17" t="s">
        <v>708</v>
      </c>
      <c r="B671" s="8">
        <v>92</v>
      </c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18"/>
      <c r="N671" s="8"/>
      <c r="O671" s="8"/>
      <c r="P671" s="8"/>
      <c r="Q671" s="8"/>
      <c r="R671" s="8"/>
      <c r="S671" s="8"/>
      <c r="T671" s="8"/>
      <c r="U671" s="18"/>
      <c r="V671" s="18"/>
      <c r="W671" s="18"/>
      <c r="X671" s="18"/>
      <c r="Y671" s="18"/>
      <c r="Z671" s="8"/>
      <c r="AA671" s="18"/>
      <c r="AB671" s="18"/>
      <c r="AC671" s="8">
        <f t="shared" si="40"/>
        <v>0</v>
      </c>
      <c r="AD671" s="18"/>
      <c r="AE671" s="18"/>
      <c r="AF671" s="8"/>
      <c r="AG671" s="18"/>
      <c r="AH671" s="8"/>
      <c r="AI671" s="8"/>
      <c r="AJ671" s="8"/>
      <c r="AK671" s="8">
        <f t="shared" si="38"/>
        <v>0</v>
      </c>
      <c r="AL671" s="8">
        <f t="shared" si="39"/>
        <v>92</v>
      </c>
      <c r="AM671" s="9"/>
    </row>
    <row r="672" spans="1:39" ht="24.95" customHeight="1">
      <c r="A672" s="17" t="s">
        <v>709</v>
      </c>
      <c r="B672" s="8">
        <v>61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18"/>
      <c r="N672" s="8"/>
      <c r="O672" s="8"/>
      <c r="P672" s="8"/>
      <c r="Q672" s="8"/>
      <c r="R672" s="8"/>
      <c r="S672" s="8"/>
      <c r="T672" s="8"/>
      <c r="U672" s="18"/>
      <c r="V672" s="18"/>
      <c r="W672" s="18"/>
      <c r="X672" s="18"/>
      <c r="Y672" s="18"/>
      <c r="Z672" s="8"/>
      <c r="AA672" s="18"/>
      <c r="AB672" s="18"/>
      <c r="AC672" s="8">
        <f t="shared" si="40"/>
        <v>0</v>
      </c>
      <c r="AD672" s="18"/>
      <c r="AE672" s="18"/>
      <c r="AF672" s="8"/>
      <c r="AG672" s="18"/>
      <c r="AH672" s="8"/>
      <c r="AI672" s="8"/>
      <c r="AJ672" s="8"/>
      <c r="AK672" s="8">
        <f t="shared" si="38"/>
        <v>0</v>
      </c>
      <c r="AL672" s="8">
        <f t="shared" si="39"/>
        <v>61</v>
      </c>
      <c r="AM672" s="9"/>
    </row>
    <row r="673" spans="1:39" ht="24.95" customHeight="1">
      <c r="A673" s="17" t="s">
        <v>710</v>
      </c>
      <c r="B673" s="8">
        <v>93</v>
      </c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18"/>
      <c r="N673" s="8"/>
      <c r="O673" s="8"/>
      <c r="P673" s="8"/>
      <c r="Q673" s="8"/>
      <c r="R673" s="8"/>
      <c r="S673" s="8"/>
      <c r="T673" s="8"/>
      <c r="U673" s="18"/>
      <c r="V673" s="18"/>
      <c r="W673" s="18"/>
      <c r="X673" s="18"/>
      <c r="Y673" s="18"/>
      <c r="Z673" s="8"/>
      <c r="AA673" s="18"/>
      <c r="AB673" s="18"/>
      <c r="AC673" s="8">
        <f t="shared" si="40"/>
        <v>0</v>
      </c>
      <c r="AD673" s="18"/>
      <c r="AE673" s="18"/>
      <c r="AF673" s="8"/>
      <c r="AG673" s="18"/>
      <c r="AH673" s="8"/>
      <c r="AI673" s="8"/>
      <c r="AJ673" s="8"/>
      <c r="AK673" s="8">
        <f t="shared" si="38"/>
        <v>0</v>
      </c>
      <c r="AL673" s="8">
        <f t="shared" si="39"/>
        <v>93</v>
      </c>
      <c r="AM673" s="9"/>
    </row>
    <row r="674" spans="1:39" ht="24.95" customHeight="1">
      <c r="A674" s="17" t="s">
        <v>711</v>
      </c>
      <c r="B674" s="8">
        <v>0</v>
      </c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18"/>
      <c r="N674" s="8"/>
      <c r="O674" s="8"/>
      <c r="P674" s="8"/>
      <c r="Q674" s="8"/>
      <c r="R674" s="8"/>
      <c r="S674" s="8"/>
      <c r="T674" s="8"/>
      <c r="U674" s="18"/>
      <c r="V674" s="18"/>
      <c r="W674" s="18"/>
      <c r="X674" s="18"/>
      <c r="Y674" s="18"/>
      <c r="Z674" s="8"/>
      <c r="AA674" s="18"/>
      <c r="AB674" s="18"/>
      <c r="AC674" s="8">
        <f t="shared" si="40"/>
        <v>0</v>
      </c>
      <c r="AD674" s="18"/>
      <c r="AE674" s="18"/>
      <c r="AF674" s="8"/>
      <c r="AG674" s="18"/>
      <c r="AH674" s="8"/>
      <c r="AI674" s="8"/>
      <c r="AJ674" s="8"/>
      <c r="AK674" s="8">
        <f t="shared" si="38"/>
        <v>0</v>
      </c>
      <c r="AL674" s="8">
        <f t="shared" si="39"/>
        <v>0</v>
      </c>
      <c r="AM674" s="9"/>
    </row>
    <row r="675" spans="1:39" ht="24.95" customHeight="1">
      <c r="A675" s="17" t="s">
        <v>712</v>
      </c>
      <c r="B675" s="8">
        <v>0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18"/>
      <c r="N675" s="8"/>
      <c r="O675" s="8"/>
      <c r="P675" s="8"/>
      <c r="Q675" s="8"/>
      <c r="R675" s="8"/>
      <c r="S675" s="8"/>
      <c r="T675" s="8"/>
      <c r="U675" s="18"/>
      <c r="V675" s="18"/>
      <c r="W675" s="18"/>
      <c r="X675" s="18"/>
      <c r="Y675" s="18"/>
      <c r="Z675" s="8"/>
      <c r="AA675" s="18"/>
      <c r="AB675" s="18"/>
      <c r="AC675" s="8">
        <f t="shared" si="40"/>
        <v>0</v>
      </c>
      <c r="AD675" s="18"/>
      <c r="AE675" s="18"/>
      <c r="AF675" s="8"/>
      <c r="AG675" s="18"/>
      <c r="AH675" s="8"/>
      <c r="AI675" s="8"/>
      <c r="AJ675" s="8"/>
      <c r="AK675" s="8">
        <f t="shared" si="38"/>
        <v>0</v>
      </c>
      <c r="AL675" s="8">
        <f t="shared" si="39"/>
        <v>0</v>
      </c>
      <c r="AM675" s="9"/>
    </row>
    <row r="676" spans="1:39" ht="24.95" customHeight="1">
      <c r="A676" s="17" t="s">
        <v>713</v>
      </c>
      <c r="B676" s="8">
        <v>0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18"/>
      <c r="N676" s="8"/>
      <c r="O676" s="8"/>
      <c r="P676" s="8"/>
      <c r="Q676" s="8"/>
      <c r="R676" s="8"/>
      <c r="S676" s="8"/>
      <c r="T676" s="8"/>
      <c r="U676" s="18"/>
      <c r="V676" s="18"/>
      <c r="W676" s="18"/>
      <c r="X676" s="18"/>
      <c r="Y676" s="18"/>
      <c r="Z676" s="8"/>
      <c r="AA676" s="18"/>
      <c r="AB676" s="18"/>
      <c r="AC676" s="8">
        <f t="shared" si="40"/>
        <v>0</v>
      </c>
      <c r="AD676" s="18"/>
      <c r="AE676" s="18"/>
      <c r="AF676" s="8"/>
      <c r="AG676" s="18"/>
      <c r="AH676" s="8"/>
      <c r="AI676" s="8"/>
      <c r="AJ676" s="8"/>
      <c r="AK676" s="8">
        <f t="shared" si="38"/>
        <v>0</v>
      </c>
      <c r="AL676" s="8">
        <f t="shared" si="39"/>
        <v>0</v>
      </c>
      <c r="AM676" s="9"/>
    </row>
    <row r="677" spans="1:39" ht="24.95" customHeight="1">
      <c r="A677" s="17" t="s">
        <v>714</v>
      </c>
      <c r="B677" s="8">
        <v>0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18"/>
      <c r="N677" s="8"/>
      <c r="O677" s="8"/>
      <c r="P677" s="8"/>
      <c r="Q677" s="8"/>
      <c r="R677" s="8"/>
      <c r="S677" s="8"/>
      <c r="T677" s="8"/>
      <c r="U677" s="18"/>
      <c r="V677" s="18"/>
      <c r="W677" s="18"/>
      <c r="X677" s="18"/>
      <c r="Y677" s="18"/>
      <c r="Z677" s="8"/>
      <c r="AA677" s="18"/>
      <c r="AB677" s="18"/>
      <c r="AC677" s="8">
        <f t="shared" si="40"/>
        <v>0</v>
      </c>
      <c r="AD677" s="18"/>
      <c r="AE677" s="18"/>
      <c r="AF677" s="8"/>
      <c r="AG677" s="18"/>
      <c r="AH677" s="8"/>
      <c r="AI677" s="8"/>
      <c r="AJ677" s="8"/>
      <c r="AK677" s="8">
        <f t="shared" si="38"/>
        <v>0</v>
      </c>
      <c r="AL677" s="8">
        <f t="shared" si="39"/>
        <v>0</v>
      </c>
      <c r="AM677" s="9"/>
    </row>
    <row r="678" spans="1:39" ht="24.95" customHeight="1">
      <c r="A678" s="17" t="s">
        <v>715</v>
      </c>
      <c r="B678" s="8">
        <v>0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18"/>
      <c r="N678" s="8"/>
      <c r="O678" s="8"/>
      <c r="P678" s="8"/>
      <c r="Q678" s="8"/>
      <c r="R678" s="8"/>
      <c r="S678" s="8"/>
      <c r="T678" s="8"/>
      <c r="U678" s="18"/>
      <c r="V678" s="18"/>
      <c r="W678" s="18"/>
      <c r="X678" s="18"/>
      <c r="Y678" s="18"/>
      <c r="Z678" s="8"/>
      <c r="AA678" s="18"/>
      <c r="AB678" s="18"/>
      <c r="AC678" s="8">
        <f t="shared" si="40"/>
        <v>0</v>
      </c>
      <c r="AD678" s="18"/>
      <c r="AE678" s="18"/>
      <c r="AF678" s="8"/>
      <c r="AG678" s="18"/>
      <c r="AH678" s="8"/>
      <c r="AI678" s="8"/>
      <c r="AJ678" s="8"/>
      <c r="AK678" s="8">
        <f t="shared" si="38"/>
        <v>0</v>
      </c>
      <c r="AL678" s="8">
        <f t="shared" si="39"/>
        <v>0</v>
      </c>
      <c r="AM678" s="9"/>
    </row>
    <row r="679" spans="1:39" ht="24.95" customHeight="1">
      <c r="A679" s="17" t="s">
        <v>716</v>
      </c>
      <c r="B679" s="8">
        <v>0</v>
      </c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18"/>
      <c r="N679" s="8"/>
      <c r="O679" s="8"/>
      <c r="P679" s="8"/>
      <c r="Q679" s="8"/>
      <c r="R679" s="8"/>
      <c r="S679" s="8"/>
      <c r="T679" s="8"/>
      <c r="U679" s="18"/>
      <c r="V679" s="18"/>
      <c r="W679" s="18"/>
      <c r="X679" s="18"/>
      <c r="Y679" s="18"/>
      <c r="Z679" s="8"/>
      <c r="AA679" s="18"/>
      <c r="AB679" s="18"/>
      <c r="AC679" s="8">
        <f t="shared" si="40"/>
        <v>0</v>
      </c>
      <c r="AD679" s="18"/>
      <c r="AE679" s="18"/>
      <c r="AF679" s="8"/>
      <c r="AG679" s="18"/>
      <c r="AH679" s="8"/>
      <c r="AI679" s="8"/>
      <c r="AJ679" s="8"/>
      <c r="AK679" s="8">
        <f t="shared" si="38"/>
        <v>0</v>
      </c>
      <c r="AL679" s="8">
        <f t="shared" si="39"/>
        <v>0</v>
      </c>
      <c r="AM679" s="9"/>
    </row>
    <row r="680" spans="1:39" ht="24.95" customHeight="1">
      <c r="A680" s="17" t="s">
        <v>717</v>
      </c>
      <c r="B680" s="8">
        <v>5</v>
      </c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18"/>
      <c r="N680" s="8"/>
      <c r="O680" s="8"/>
      <c r="P680" s="8"/>
      <c r="Q680" s="8"/>
      <c r="R680" s="8"/>
      <c r="S680" s="8"/>
      <c r="T680" s="8"/>
      <c r="U680" s="18"/>
      <c r="V680" s="18"/>
      <c r="W680" s="18"/>
      <c r="X680" s="18"/>
      <c r="Y680" s="18"/>
      <c r="Z680" s="8"/>
      <c r="AA680" s="18"/>
      <c r="AB680" s="18"/>
      <c r="AC680" s="8">
        <f t="shared" si="40"/>
        <v>0</v>
      </c>
      <c r="AD680" s="18"/>
      <c r="AE680" s="18"/>
      <c r="AF680" s="8"/>
      <c r="AG680" s="18"/>
      <c r="AH680" s="8"/>
      <c r="AI680" s="8"/>
      <c r="AJ680" s="8"/>
      <c r="AK680" s="8">
        <f t="shared" si="38"/>
        <v>0</v>
      </c>
      <c r="AL680" s="8">
        <f t="shared" si="39"/>
        <v>5</v>
      </c>
      <c r="AM680" s="9"/>
    </row>
    <row r="681" spans="1:39" ht="24.95" customHeight="1">
      <c r="A681" s="17" t="s">
        <v>718</v>
      </c>
      <c r="B681" s="8">
        <v>0</v>
      </c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18"/>
      <c r="N681" s="8"/>
      <c r="O681" s="8"/>
      <c r="P681" s="8"/>
      <c r="Q681" s="8"/>
      <c r="R681" s="8"/>
      <c r="S681" s="8"/>
      <c r="T681" s="8"/>
      <c r="U681" s="18"/>
      <c r="V681" s="18"/>
      <c r="W681" s="18"/>
      <c r="X681" s="18"/>
      <c r="Y681" s="18"/>
      <c r="Z681" s="8"/>
      <c r="AA681" s="18"/>
      <c r="AB681" s="18"/>
      <c r="AC681" s="8">
        <f t="shared" si="40"/>
        <v>0</v>
      </c>
      <c r="AD681" s="18"/>
      <c r="AE681" s="18"/>
      <c r="AF681" s="8"/>
      <c r="AG681" s="18"/>
      <c r="AH681" s="8"/>
      <c r="AI681" s="8"/>
      <c r="AJ681" s="8"/>
      <c r="AK681" s="8">
        <f t="shared" si="38"/>
        <v>0</v>
      </c>
      <c r="AL681" s="8">
        <f t="shared" si="39"/>
        <v>0</v>
      </c>
      <c r="AM681" s="9"/>
    </row>
    <row r="682" spans="1:39" ht="24.95" customHeight="1">
      <c r="A682" s="17" t="s">
        <v>719</v>
      </c>
      <c r="B682" s="8">
        <v>0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18"/>
      <c r="N682" s="8"/>
      <c r="O682" s="8"/>
      <c r="P682" s="8"/>
      <c r="Q682" s="8"/>
      <c r="R682" s="8"/>
      <c r="S682" s="8"/>
      <c r="T682" s="8"/>
      <c r="U682" s="18"/>
      <c r="V682" s="18"/>
      <c r="W682" s="18"/>
      <c r="X682" s="18"/>
      <c r="Y682" s="18"/>
      <c r="Z682" s="8"/>
      <c r="AA682" s="18"/>
      <c r="AB682" s="18"/>
      <c r="AC682" s="8">
        <f t="shared" si="40"/>
        <v>0</v>
      </c>
      <c r="AD682" s="18"/>
      <c r="AE682" s="18"/>
      <c r="AF682" s="8"/>
      <c r="AG682" s="18"/>
      <c r="AH682" s="8"/>
      <c r="AI682" s="8"/>
      <c r="AJ682" s="8"/>
      <c r="AK682" s="8">
        <f t="shared" si="38"/>
        <v>0</v>
      </c>
      <c r="AL682" s="8">
        <f t="shared" si="39"/>
        <v>0</v>
      </c>
      <c r="AM682" s="9"/>
    </row>
    <row r="683" spans="1:39" ht="24.95" customHeight="1">
      <c r="A683" s="17" t="s">
        <v>720</v>
      </c>
      <c r="B683" s="8">
        <v>0</v>
      </c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18"/>
      <c r="N683" s="8"/>
      <c r="O683" s="8"/>
      <c r="P683" s="8"/>
      <c r="Q683" s="8"/>
      <c r="R683" s="8"/>
      <c r="S683" s="8"/>
      <c r="T683" s="8"/>
      <c r="U683" s="18"/>
      <c r="V683" s="18"/>
      <c r="W683" s="18"/>
      <c r="X683" s="18"/>
      <c r="Y683" s="18"/>
      <c r="Z683" s="8"/>
      <c r="AA683" s="18"/>
      <c r="AB683" s="18"/>
      <c r="AC683" s="8">
        <f t="shared" si="40"/>
        <v>0</v>
      </c>
      <c r="AD683" s="18"/>
      <c r="AE683" s="18"/>
      <c r="AF683" s="8"/>
      <c r="AG683" s="18"/>
      <c r="AH683" s="8"/>
      <c r="AI683" s="8"/>
      <c r="AJ683" s="8"/>
      <c r="AK683" s="8">
        <f t="shared" si="38"/>
        <v>0</v>
      </c>
      <c r="AL683" s="8">
        <f t="shared" si="39"/>
        <v>0</v>
      </c>
      <c r="AM683" s="9"/>
    </row>
    <row r="684" spans="1:39" ht="24.95" customHeight="1">
      <c r="A684" s="17" t="s">
        <v>721</v>
      </c>
      <c r="B684" s="8">
        <v>0</v>
      </c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18"/>
      <c r="N684" s="8"/>
      <c r="O684" s="8"/>
      <c r="P684" s="8"/>
      <c r="Q684" s="8"/>
      <c r="R684" s="8"/>
      <c r="S684" s="8"/>
      <c r="T684" s="8"/>
      <c r="U684" s="18"/>
      <c r="V684" s="18"/>
      <c r="W684" s="18"/>
      <c r="X684" s="18"/>
      <c r="Y684" s="18"/>
      <c r="Z684" s="8"/>
      <c r="AA684" s="18"/>
      <c r="AB684" s="18"/>
      <c r="AC684" s="8">
        <f t="shared" si="40"/>
        <v>0</v>
      </c>
      <c r="AD684" s="18"/>
      <c r="AE684" s="18"/>
      <c r="AF684" s="8"/>
      <c r="AG684" s="18"/>
      <c r="AH684" s="8"/>
      <c r="AI684" s="8"/>
      <c r="AJ684" s="8"/>
      <c r="AK684" s="8">
        <f t="shared" si="38"/>
        <v>0</v>
      </c>
      <c r="AL684" s="8">
        <f t="shared" si="39"/>
        <v>0</v>
      </c>
      <c r="AM684" s="9"/>
    </row>
    <row r="685" spans="1:39" ht="24.95" customHeight="1">
      <c r="A685" s="17" t="s">
        <v>722</v>
      </c>
      <c r="B685" s="8">
        <v>0</v>
      </c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18"/>
      <c r="N685" s="8"/>
      <c r="O685" s="8"/>
      <c r="P685" s="8"/>
      <c r="Q685" s="8"/>
      <c r="R685" s="8"/>
      <c r="S685" s="8"/>
      <c r="T685" s="8"/>
      <c r="U685" s="18"/>
      <c r="V685" s="18"/>
      <c r="W685" s="18"/>
      <c r="X685" s="18"/>
      <c r="Y685" s="18"/>
      <c r="Z685" s="8"/>
      <c r="AA685" s="18"/>
      <c r="AB685" s="18"/>
      <c r="AC685" s="8">
        <f t="shared" si="40"/>
        <v>0</v>
      </c>
      <c r="AD685" s="18"/>
      <c r="AE685" s="18"/>
      <c r="AF685" s="8"/>
      <c r="AG685" s="18"/>
      <c r="AH685" s="8"/>
      <c r="AI685" s="8"/>
      <c r="AJ685" s="8"/>
      <c r="AK685" s="8">
        <f t="shared" si="38"/>
        <v>0</v>
      </c>
      <c r="AL685" s="8">
        <f t="shared" si="39"/>
        <v>0</v>
      </c>
      <c r="AM685" s="9"/>
    </row>
    <row r="686" spans="1:39" ht="24.95" customHeight="1">
      <c r="A686" s="17" t="s">
        <v>723</v>
      </c>
      <c r="B686" s="8">
        <v>0</v>
      </c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18"/>
      <c r="N686" s="8"/>
      <c r="O686" s="8"/>
      <c r="P686" s="8"/>
      <c r="Q686" s="8"/>
      <c r="R686" s="8"/>
      <c r="S686" s="8"/>
      <c r="T686" s="8"/>
      <c r="U686" s="18"/>
      <c r="V686" s="18"/>
      <c r="W686" s="18"/>
      <c r="X686" s="18"/>
      <c r="Y686" s="18"/>
      <c r="Z686" s="8"/>
      <c r="AA686" s="18"/>
      <c r="AB686" s="18"/>
      <c r="AC686" s="8">
        <f t="shared" si="40"/>
        <v>0</v>
      </c>
      <c r="AD686" s="18"/>
      <c r="AE686" s="18"/>
      <c r="AF686" s="8"/>
      <c r="AG686" s="18"/>
      <c r="AH686" s="8"/>
      <c r="AI686" s="8"/>
      <c r="AJ686" s="8"/>
      <c r="AK686" s="8">
        <f t="shared" si="38"/>
        <v>0</v>
      </c>
      <c r="AL686" s="8">
        <f t="shared" si="39"/>
        <v>0</v>
      </c>
      <c r="AM686" s="9"/>
    </row>
    <row r="687" spans="1:39" ht="24.95" customHeight="1">
      <c r="A687" s="17" t="s">
        <v>724</v>
      </c>
      <c r="B687" s="8">
        <v>0</v>
      </c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18"/>
      <c r="N687" s="8"/>
      <c r="O687" s="8"/>
      <c r="P687" s="8"/>
      <c r="Q687" s="8"/>
      <c r="R687" s="8"/>
      <c r="S687" s="8"/>
      <c r="T687" s="8"/>
      <c r="U687" s="18"/>
      <c r="V687" s="18"/>
      <c r="W687" s="18"/>
      <c r="X687" s="18"/>
      <c r="Y687" s="18"/>
      <c r="Z687" s="8"/>
      <c r="AA687" s="18"/>
      <c r="AB687" s="18"/>
      <c r="AC687" s="8">
        <f t="shared" si="40"/>
        <v>0</v>
      </c>
      <c r="AD687" s="18"/>
      <c r="AE687" s="18"/>
      <c r="AF687" s="8"/>
      <c r="AG687" s="18"/>
      <c r="AH687" s="8"/>
      <c r="AI687" s="8"/>
      <c r="AJ687" s="8"/>
      <c r="AK687" s="8">
        <f t="shared" si="38"/>
        <v>0</v>
      </c>
      <c r="AL687" s="8">
        <f t="shared" si="39"/>
        <v>0</v>
      </c>
      <c r="AM687" s="9"/>
    </row>
    <row r="688" spans="1:39" ht="24.95" customHeight="1">
      <c r="A688" s="17" t="s">
        <v>725</v>
      </c>
      <c r="B688" s="8">
        <v>0</v>
      </c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18"/>
      <c r="N688" s="8"/>
      <c r="O688" s="8"/>
      <c r="P688" s="8"/>
      <c r="Q688" s="8"/>
      <c r="R688" s="8"/>
      <c r="S688" s="8"/>
      <c r="T688" s="8"/>
      <c r="U688" s="18"/>
      <c r="V688" s="18"/>
      <c r="W688" s="18"/>
      <c r="X688" s="18"/>
      <c r="Y688" s="18"/>
      <c r="Z688" s="8"/>
      <c r="AA688" s="18"/>
      <c r="AB688" s="18"/>
      <c r="AC688" s="8">
        <f t="shared" si="40"/>
        <v>0</v>
      </c>
      <c r="AD688" s="18"/>
      <c r="AE688" s="18"/>
      <c r="AF688" s="8"/>
      <c r="AG688" s="18"/>
      <c r="AH688" s="8"/>
      <c r="AI688" s="8"/>
      <c r="AJ688" s="8"/>
      <c r="AK688" s="8">
        <f t="shared" si="38"/>
        <v>0</v>
      </c>
      <c r="AL688" s="8">
        <f t="shared" si="39"/>
        <v>0</v>
      </c>
      <c r="AM688" s="9"/>
    </row>
    <row r="689" spans="1:39" ht="24.95" customHeight="1">
      <c r="A689" s="17" t="s">
        <v>726</v>
      </c>
      <c r="B689" s="8">
        <v>0</v>
      </c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18"/>
      <c r="N689" s="8"/>
      <c r="O689" s="8"/>
      <c r="P689" s="8"/>
      <c r="Q689" s="8"/>
      <c r="R689" s="8"/>
      <c r="S689" s="8"/>
      <c r="T689" s="8"/>
      <c r="U689" s="18"/>
      <c r="V689" s="18"/>
      <c r="W689" s="18"/>
      <c r="X689" s="18"/>
      <c r="Y689" s="18"/>
      <c r="Z689" s="8"/>
      <c r="AA689" s="18"/>
      <c r="AB689" s="18"/>
      <c r="AC689" s="8">
        <f t="shared" si="40"/>
        <v>0</v>
      </c>
      <c r="AD689" s="18"/>
      <c r="AE689" s="18"/>
      <c r="AF689" s="8"/>
      <c r="AG689" s="18"/>
      <c r="AH689" s="8"/>
      <c r="AI689" s="8"/>
      <c r="AJ689" s="8"/>
      <c r="AK689" s="8">
        <f t="shared" si="38"/>
        <v>0</v>
      </c>
      <c r="AL689" s="8">
        <f t="shared" si="39"/>
        <v>0</v>
      </c>
      <c r="AM689" s="9"/>
    </row>
    <row r="690" spans="1:39" ht="24.95" customHeight="1">
      <c r="A690" s="17" t="s">
        <v>727</v>
      </c>
      <c r="B690" s="8">
        <v>0</v>
      </c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18"/>
      <c r="N690" s="8"/>
      <c r="O690" s="8"/>
      <c r="P690" s="8"/>
      <c r="Q690" s="8"/>
      <c r="R690" s="8"/>
      <c r="S690" s="8"/>
      <c r="T690" s="8"/>
      <c r="U690" s="18"/>
      <c r="V690" s="18"/>
      <c r="W690" s="18"/>
      <c r="X690" s="18"/>
      <c r="Y690" s="18"/>
      <c r="Z690" s="8"/>
      <c r="AA690" s="18"/>
      <c r="AB690" s="18"/>
      <c r="AC690" s="8">
        <f t="shared" si="40"/>
        <v>0</v>
      </c>
      <c r="AD690" s="18"/>
      <c r="AE690" s="18"/>
      <c r="AF690" s="8"/>
      <c r="AG690" s="18"/>
      <c r="AH690" s="8"/>
      <c r="AI690" s="8"/>
      <c r="AJ690" s="8"/>
      <c r="AK690" s="8">
        <f t="shared" si="38"/>
        <v>0</v>
      </c>
      <c r="AL690" s="8">
        <f t="shared" si="39"/>
        <v>0</v>
      </c>
      <c r="AM690" s="9"/>
    </row>
    <row r="691" spans="1:39" ht="24.95" customHeight="1">
      <c r="A691" s="17" t="s">
        <v>728</v>
      </c>
      <c r="B691" s="8">
        <v>0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18"/>
      <c r="N691" s="8"/>
      <c r="O691" s="8"/>
      <c r="P691" s="8"/>
      <c r="Q691" s="8"/>
      <c r="R691" s="8"/>
      <c r="S691" s="8"/>
      <c r="T691" s="8"/>
      <c r="U691" s="18"/>
      <c r="V691" s="18"/>
      <c r="W691" s="18"/>
      <c r="X691" s="18"/>
      <c r="Y691" s="18"/>
      <c r="Z691" s="8"/>
      <c r="AA691" s="18"/>
      <c r="AB691" s="18"/>
      <c r="AC691" s="8">
        <f t="shared" si="40"/>
        <v>0</v>
      </c>
      <c r="AD691" s="18"/>
      <c r="AE691" s="18"/>
      <c r="AF691" s="8"/>
      <c r="AG691" s="18"/>
      <c r="AH691" s="8"/>
      <c r="AI691" s="8"/>
      <c r="AJ691" s="8"/>
      <c r="AK691" s="8">
        <f t="shared" si="38"/>
        <v>0</v>
      </c>
      <c r="AL691" s="8">
        <f t="shared" si="39"/>
        <v>0</v>
      </c>
      <c r="AM691" s="9"/>
    </row>
    <row r="692" spans="1:39" ht="24.95" customHeight="1">
      <c r="A692" s="17" t="s">
        <v>729</v>
      </c>
      <c r="B692" s="8">
        <v>0</v>
      </c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18"/>
      <c r="N692" s="8"/>
      <c r="O692" s="8"/>
      <c r="P692" s="8"/>
      <c r="Q692" s="8"/>
      <c r="R692" s="8"/>
      <c r="S692" s="8"/>
      <c r="T692" s="8"/>
      <c r="U692" s="18"/>
      <c r="V692" s="18"/>
      <c r="W692" s="18"/>
      <c r="X692" s="18"/>
      <c r="Y692" s="18"/>
      <c r="Z692" s="8"/>
      <c r="AA692" s="18"/>
      <c r="AB692" s="18"/>
      <c r="AC692" s="8">
        <f t="shared" si="40"/>
        <v>0</v>
      </c>
      <c r="AD692" s="18"/>
      <c r="AE692" s="18"/>
      <c r="AF692" s="8"/>
      <c r="AG692" s="18"/>
      <c r="AH692" s="8"/>
      <c r="AI692" s="8"/>
      <c r="AJ692" s="8"/>
      <c r="AK692" s="8">
        <f t="shared" si="38"/>
        <v>0</v>
      </c>
      <c r="AL692" s="8">
        <f t="shared" si="39"/>
        <v>0</v>
      </c>
      <c r="AM692" s="9"/>
    </row>
    <row r="693" spans="1:39" ht="24.95" customHeight="1">
      <c r="A693" s="17" t="s">
        <v>730</v>
      </c>
      <c r="B693" s="8">
        <v>60</v>
      </c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18"/>
      <c r="N693" s="8"/>
      <c r="O693" s="8"/>
      <c r="P693" s="8"/>
      <c r="Q693" s="8"/>
      <c r="R693" s="8"/>
      <c r="S693" s="8"/>
      <c r="T693" s="8"/>
      <c r="U693" s="18"/>
      <c r="V693" s="18"/>
      <c r="W693" s="18"/>
      <c r="X693" s="18"/>
      <c r="Y693" s="18"/>
      <c r="Z693" s="8"/>
      <c r="AA693" s="18"/>
      <c r="AB693" s="18"/>
      <c r="AC693" s="8">
        <f t="shared" si="40"/>
        <v>0</v>
      </c>
      <c r="AD693" s="18"/>
      <c r="AE693" s="18"/>
      <c r="AF693" s="8"/>
      <c r="AG693" s="18"/>
      <c r="AH693" s="8"/>
      <c r="AI693" s="8"/>
      <c r="AJ693" s="8"/>
      <c r="AK693" s="8">
        <f t="shared" si="38"/>
        <v>0</v>
      </c>
      <c r="AL693" s="8">
        <f t="shared" si="39"/>
        <v>60</v>
      </c>
      <c r="AM693" s="9"/>
    </row>
    <row r="694" spans="1:39" ht="24.95" customHeight="1">
      <c r="A694" s="17" t="s">
        <v>731</v>
      </c>
      <c r="B694" s="8">
        <v>50</v>
      </c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18"/>
      <c r="N694" s="8"/>
      <c r="O694" s="8"/>
      <c r="P694" s="8"/>
      <c r="Q694" s="8"/>
      <c r="R694" s="8"/>
      <c r="S694" s="8"/>
      <c r="T694" s="8"/>
      <c r="U694" s="18"/>
      <c r="V694" s="18"/>
      <c r="W694" s="18"/>
      <c r="X694" s="18"/>
      <c r="Y694" s="18"/>
      <c r="Z694" s="8"/>
      <c r="AA694" s="18"/>
      <c r="AB694" s="18"/>
      <c r="AC694" s="8">
        <f t="shared" si="40"/>
        <v>0</v>
      </c>
      <c r="AD694" s="18"/>
      <c r="AE694" s="18"/>
      <c r="AF694" s="8"/>
      <c r="AG694" s="18"/>
      <c r="AH694" s="8"/>
      <c r="AI694" s="8"/>
      <c r="AJ694" s="8"/>
      <c r="AK694" s="8">
        <f t="shared" si="38"/>
        <v>0</v>
      </c>
      <c r="AL694" s="8">
        <f t="shared" si="39"/>
        <v>50</v>
      </c>
      <c r="AM694" s="9"/>
    </row>
    <row r="695" spans="1:39" ht="24.95" customHeight="1">
      <c r="A695" s="17" t="s">
        <v>732</v>
      </c>
      <c r="B695" s="8">
        <v>40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18"/>
      <c r="N695" s="8"/>
      <c r="O695" s="8"/>
      <c r="P695" s="8"/>
      <c r="Q695" s="8"/>
      <c r="R695" s="8"/>
      <c r="S695" s="8"/>
      <c r="T695" s="8"/>
      <c r="U695" s="18"/>
      <c r="V695" s="18"/>
      <c r="W695" s="18"/>
      <c r="X695" s="18"/>
      <c r="Y695" s="18"/>
      <c r="Z695" s="8"/>
      <c r="AA695" s="18"/>
      <c r="AB695" s="18"/>
      <c r="AC695" s="8">
        <f t="shared" si="40"/>
        <v>0</v>
      </c>
      <c r="AD695" s="18"/>
      <c r="AE695" s="18"/>
      <c r="AF695" s="8"/>
      <c r="AG695" s="18"/>
      <c r="AH695" s="8"/>
      <c r="AI695" s="8"/>
      <c r="AJ695" s="8"/>
      <c r="AK695" s="8">
        <f t="shared" si="38"/>
        <v>0</v>
      </c>
      <c r="AL695" s="8">
        <f t="shared" si="39"/>
        <v>40</v>
      </c>
      <c r="AM695" s="9"/>
    </row>
    <row r="696" spans="1:39" ht="24.95" customHeight="1">
      <c r="A696" s="17" t="s">
        <v>733</v>
      </c>
      <c r="B696" s="8">
        <v>50</v>
      </c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18"/>
      <c r="N696" s="8"/>
      <c r="O696" s="8"/>
      <c r="P696" s="8"/>
      <c r="Q696" s="8"/>
      <c r="R696" s="8"/>
      <c r="S696" s="8"/>
      <c r="T696" s="8"/>
      <c r="U696" s="18"/>
      <c r="V696" s="18"/>
      <c r="W696" s="18"/>
      <c r="X696" s="18"/>
      <c r="Y696" s="18"/>
      <c r="Z696" s="8"/>
      <c r="AA696" s="18"/>
      <c r="AB696" s="18"/>
      <c r="AC696" s="8">
        <f t="shared" si="40"/>
        <v>0</v>
      </c>
      <c r="AD696" s="18"/>
      <c r="AE696" s="18"/>
      <c r="AF696" s="8"/>
      <c r="AG696" s="18"/>
      <c r="AH696" s="8"/>
      <c r="AI696" s="8"/>
      <c r="AJ696" s="8"/>
      <c r="AK696" s="8">
        <f t="shared" si="38"/>
        <v>0</v>
      </c>
      <c r="AL696" s="8">
        <f t="shared" si="39"/>
        <v>50</v>
      </c>
      <c r="AM696" s="9"/>
    </row>
    <row r="697" spans="1:39" ht="24.95" customHeight="1">
      <c r="A697" s="17" t="s">
        <v>734</v>
      </c>
      <c r="B697" s="8">
        <v>0</v>
      </c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18"/>
      <c r="N697" s="8"/>
      <c r="O697" s="8"/>
      <c r="P697" s="8"/>
      <c r="Q697" s="8"/>
      <c r="R697" s="8"/>
      <c r="S697" s="8"/>
      <c r="T697" s="8"/>
      <c r="U697" s="18"/>
      <c r="V697" s="18"/>
      <c r="W697" s="18"/>
      <c r="X697" s="18"/>
      <c r="Y697" s="18"/>
      <c r="Z697" s="8"/>
      <c r="AA697" s="18"/>
      <c r="AB697" s="18"/>
      <c r="AC697" s="8">
        <f t="shared" si="40"/>
        <v>0</v>
      </c>
      <c r="AD697" s="18"/>
      <c r="AE697" s="18"/>
      <c r="AF697" s="8"/>
      <c r="AG697" s="18"/>
      <c r="AH697" s="8"/>
      <c r="AI697" s="8"/>
      <c r="AJ697" s="8"/>
      <c r="AK697" s="8">
        <f t="shared" si="38"/>
        <v>0</v>
      </c>
      <c r="AL697" s="8">
        <f t="shared" si="39"/>
        <v>0</v>
      </c>
      <c r="AM697" s="9"/>
    </row>
    <row r="698" spans="1:39" ht="24.95" customHeight="1">
      <c r="A698" s="17" t="s">
        <v>735</v>
      </c>
      <c r="B698" s="8">
        <v>0</v>
      </c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18"/>
      <c r="N698" s="8"/>
      <c r="O698" s="8"/>
      <c r="P698" s="8"/>
      <c r="Q698" s="8"/>
      <c r="R698" s="8"/>
      <c r="S698" s="8"/>
      <c r="T698" s="8"/>
      <c r="U698" s="18"/>
      <c r="V698" s="18"/>
      <c r="W698" s="18"/>
      <c r="X698" s="18"/>
      <c r="Y698" s="18"/>
      <c r="Z698" s="8"/>
      <c r="AA698" s="18"/>
      <c r="AB698" s="18"/>
      <c r="AC698" s="8">
        <f t="shared" si="40"/>
        <v>0</v>
      </c>
      <c r="AD698" s="18"/>
      <c r="AE698" s="18"/>
      <c r="AF698" s="8"/>
      <c r="AG698" s="18"/>
      <c r="AH698" s="8"/>
      <c r="AI698" s="8"/>
      <c r="AJ698" s="8"/>
      <c r="AK698" s="8">
        <f t="shared" si="38"/>
        <v>0</v>
      </c>
      <c r="AL698" s="8">
        <f t="shared" si="39"/>
        <v>0</v>
      </c>
      <c r="AM698" s="9"/>
    </row>
    <row r="699" spans="1:39" ht="24.95" customHeight="1">
      <c r="A699" s="17" t="s">
        <v>736</v>
      </c>
      <c r="B699" s="8">
        <v>0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18"/>
      <c r="N699" s="8"/>
      <c r="O699" s="8"/>
      <c r="P699" s="8"/>
      <c r="Q699" s="8"/>
      <c r="R699" s="8"/>
      <c r="S699" s="8"/>
      <c r="T699" s="8"/>
      <c r="U699" s="18"/>
      <c r="V699" s="18"/>
      <c r="W699" s="18"/>
      <c r="X699" s="18"/>
      <c r="Y699" s="18"/>
      <c r="Z699" s="8"/>
      <c r="AA699" s="18"/>
      <c r="AB699" s="18"/>
      <c r="AC699" s="8">
        <f t="shared" si="40"/>
        <v>0</v>
      </c>
      <c r="AD699" s="18"/>
      <c r="AE699" s="18"/>
      <c r="AF699" s="8"/>
      <c r="AG699" s="18"/>
      <c r="AH699" s="8"/>
      <c r="AI699" s="8"/>
      <c r="AJ699" s="8"/>
      <c r="AK699" s="8">
        <f t="shared" si="38"/>
        <v>0</v>
      </c>
      <c r="AL699" s="8">
        <f t="shared" si="39"/>
        <v>0</v>
      </c>
      <c r="AM699" s="9"/>
    </row>
    <row r="700" spans="1:39" ht="24.95" customHeight="1">
      <c r="A700" s="17" t="s">
        <v>737</v>
      </c>
      <c r="B700" s="8">
        <v>5529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18"/>
      <c r="N700" s="8"/>
      <c r="O700" s="8"/>
      <c r="P700" s="8"/>
      <c r="Q700" s="8"/>
      <c r="R700" s="8"/>
      <c r="S700" s="8"/>
      <c r="T700" s="8"/>
      <c r="U700" s="18"/>
      <c r="V700" s="18"/>
      <c r="W700" s="18"/>
      <c r="X700" s="18"/>
      <c r="Y700" s="18"/>
      <c r="Z700" s="8"/>
      <c r="AA700" s="18">
        <f>+Z701*2+Z702*3+Z703*4</f>
        <v>3</v>
      </c>
      <c r="AB700" s="18"/>
      <c r="AC700" s="8"/>
      <c r="AD700" s="18"/>
      <c r="AE700" s="18"/>
      <c r="AF700" s="8"/>
      <c r="AG700" s="18"/>
      <c r="AH700" s="8"/>
      <c r="AI700" s="8"/>
      <c r="AJ700" s="8">
        <v>5</v>
      </c>
      <c r="AK700" s="8">
        <f t="shared" si="38"/>
        <v>-8</v>
      </c>
      <c r="AL700" s="8">
        <f t="shared" si="39"/>
        <v>5521</v>
      </c>
      <c r="AM700" s="9"/>
    </row>
    <row r="701" spans="1:39" ht="24.95" customHeight="1">
      <c r="A701" s="17" t="s">
        <v>738</v>
      </c>
      <c r="B701" s="8">
        <v>0</v>
      </c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18"/>
      <c r="N701" s="8"/>
      <c r="O701" s="8"/>
      <c r="P701" s="8"/>
      <c r="Q701" s="8"/>
      <c r="R701" s="8"/>
      <c r="S701" s="8"/>
      <c r="T701" s="8"/>
      <c r="U701" s="18"/>
      <c r="V701" s="18"/>
      <c r="W701" s="18"/>
      <c r="X701" s="18"/>
      <c r="Y701" s="18"/>
      <c r="Z701" s="8"/>
      <c r="AA701" s="18"/>
      <c r="AB701" s="18"/>
      <c r="AC701" s="8"/>
      <c r="AD701" s="18"/>
      <c r="AE701" s="18"/>
      <c r="AF701" s="8"/>
      <c r="AG701" s="18"/>
      <c r="AH701" s="8"/>
      <c r="AI701" s="8"/>
      <c r="AJ701" s="8"/>
      <c r="AK701" s="8">
        <f t="shared" si="38"/>
        <v>0</v>
      </c>
      <c r="AL701" s="8">
        <f t="shared" si="39"/>
        <v>0</v>
      </c>
      <c r="AM701" s="9"/>
    </row>
    <row r="702" spans="1:39" ht="24.95" customHeight="1">
      <c r="A702" s="17" t="s">
        <v>739</v>
      </c>
      <c r="B702" s="8">
        <v>0</v>
      </c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18"/>
      <c r="N702" s="8"/>
      <c r="O702" s="8"/>
      <c r="P702" s="8"/>
      <c r="Q702" s="8"/>
      <c r="R702" s="8">
        <v>1</v>
      </c>
      <c r="S702" s="8"/>
      <c r="T702" s="8"/>
      <c r="U702" s="18"/>
      <c r="V702" s="18"/>
      <c r="W702" s="18"/>
      <c r="X702" s="18"/>
      <c r="Y702" s="18"/>
      <c r="Z702" s="8">
        <v>1</v>
      </c>
      <c r="AA702" s="18"/>
      <c r="AB702" s="18"/>
      <c r="AC702" s="8"/>
      <c r="AD702" s="18"/>
      <c r="AE702" s="18"/>
      <c r="AF702" s="8"/>
      <c r="AG702" s="18"/>
      <c r="AH702" s="8"/>
      <c r="AI702" s="8"/>
      <c r="AJ702" s="8"/>
      <c r="AK702" s="8">
        <f t="shared" si="38"/>
        <v>0</v>
      </c>
      <c r="AL702" s="8">
        <f t="shared" si="39"/>
        <v>0</v>
      </c>
      <c r="AM702" s="9"/>
    </row>
    <row r="703" spans="1:39" ht="24.95" customHeight="1">
      <c r="A703" s="17" t="s">
        <v>740</v>
      </c>
      <c r="B703" s="8">
        <v>0</v>
      </c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18"/>
      <c r="N703" s="8"/>
      <c r="O703" s="8"/>
      <c r="P703" s="8"/>
      <c r="Q703" s="8"/>
      <c r="R703" s="8"/>
      <c r="S703" s="8"/>
      <c r="T703" s="8"/>
      <c r="U703" s="18"/>
      <c r="V703" s="18"/>
      <c r="W703" s="18"/>
      <c r="X703" s="18"/>
      <c r="Y703" s="18"/>
      <c r="Z703" s="8"/>
      <c r="AA703" s="18"/>
      <c r="AB703" s="18"/>
      <c r="AC703" s="8"/>
      <c r="AD703" s="18"/>
      <c r="AE703" s="18"/>
      <c r="AF703" s="8"/>
      <c r="AG703" s="18"/>
      <c r="AH703" s="8"/>
      <c r="AI703" s="8"/>
      <c r="AJ703" s="8"/>
      <c r="AK703" s="8">
        <f t="shared" si="38"/>
        <v>0</v>
      </c>
      <c r="AL703" s="8">
        <f t="shared" si="39"/>
        <v>0</v>
      </c>
      <c r="AM703" s="9"/>
    </row>
    <row r="704" spans="1:39" ht="24.95" customHeight="1">
      <c r="A704" s="17" t="s">
        <v>741</v>
      </c>
      <c r="B704" s="8">
        <v>86</v>
      </c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18"/>
      <c r="N704" s="8"/>
      <c r="O704" s="8"/>
      <c r="P704" s="8"/>
      <c r="Q704" s="8"/>
      <c r="R704" s="8"/>
      <c r="S704" s="8"/>
      <c r="T704" s="8"/>
      <c r="U704" s="18"/>
      <c r="V704" s="18"/>
      <c r="W704" s="18"/>
      <c r="X704" s="18"/>
      <c r="Y704" s="18"/>
      <c r="Z704" s="8"/>
      <c r="AA704" s="18"/>
      <c r="AB704" s="18"/>
      <c r="AC704" s="8">
        <f t="shared" ref="AC704:AC725" si="41">+AB704</f>
        <v>0</v>
      </c>
      <c r="AD704" s="18"/>
      <c r="AE704" s="18"/>
      <c r="AF704" s="8"/>
      <c r="AG704" s="18"/>
      <c r="AH704" s="8"/>
      <c r="AI704" s="8"/>
      <c r="AJ704" s="8"/>
      <c r="AK704" s="8">
        <f t="shared" si="38"/>
        <v>0</v>
      </c>
      <c r="AL704" s="8">
        <f t="shared" si="39"/>
        <v>86</v>
      </c>
      <c r="AM704" s="9"/>
    </row>
    <row r="705" spans="1:39" ht="24.95" customHeight="1">
      <c r="A705" s="17" t="s">
        <v>742</v>
      </c>
      <c r="B705" s="8">
        <v>0</v>
      </c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18"/>
      <c r="N705" s="8"/>
      <c r="O705" s="8"/>
      <c r="P705" s="8"/>
      <c r="Q705" s="8"/>
      <c r="R705" s="8"/>
      <c r="S705" s="8"/>
      <c r="T705" s="8"/>
      <c r="U705" s="18"/>
      <c r="V705" s="18"/>
      <c r="W705" s="18"/>
      <c r="X705" s="18"/>
      <c r="Y705" s="18"/>
      <c r="Z705" s="8"/>
      <c r="AA705" s="18"/>
      <c r="AB705" s="18"/>
      <c r="AC705" s="8">
        <f t="shared" si="41"/>
        <v>0</v>
      </c>
      <c r="AD705" s="18"/>
      <c r="AE705" s="18"/>
      <c r="AF705" s="8"/>
      <c r="AG705" s="18"/>
      <c r="AH705" s="8"/>
      <c r="AI705" s="8"/>
      <c r="AJ705" s="8"/>
      <c r="AK705" s="8">
        <f t="shared" si="38"/>
        <v>0</v>
      </c>
      <c r="AL705" s="8">
        <f t="shared" si="39"/>
        <v>0</v>
      </c>
      <c r="AM705" s="9"/>
    </row>
    <row r="706" spans="1:39" ht="24.95" customHeight="1">
      <c r="A706" s="17" t="s">
        <v>743</v>
      </c>
      <c r="B706" s="8">
        <v>93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18"/>
      <c r="N706" s="8"/>
      <c r="O706" s="8"/>
      <c r="P706" s="8"/>
      <c r="Q706" s="8"/>
      <c r="R706" s="8"/>
      <c r="S706" s="8"/>
      <c r="T706" s="8"/>
      <c r="U706" s="18"/>
      <c r="V706" s="18"/>
      <c r="W706" s="18"/>
      <c r="X706" s="18"/>
      <c r="Y706" s="18"/>
      <c r="Z706" s="8"/>
      <c r="AA706" s="18"/>
      <c r="AB706" s="18"/>
      <c r="AC706" s="8">
        <f t="shared" si="41"/>
        <v>0</v>
      </c>
      <c r="AD706" s="18"/>
      <c r="AE706" s="18"/>
      <c r="AF706" s="8"/>
      <c r="AG706" s="18"/>
      <c r="AH706" s="8"/>
      <c r="AI706" s="8"/>
      <c r="AJ706" s="8"/>
      <c r="AK706" s="8">
        <f t="shared" si="38"/>
        <v>0</v>
      </c>
      <c r="AL706" s="8">
        <f t="shared" si="39"/>
        <v>93</v>
      </c>
      <c r="AM706" s="9"/>
    </row>
    <row r="707" spans="1:39" ht="24.95" customHeight="1">
      <c r="A707" s="17" t="s">
        <v>744</v>
      </c>
      <c r="B707" s="8">
        <v>93</v>
      </c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18"/>
      <c r="N707" s="8"/>
      <c r="O707" s="8"/>
      <c r="P707" s="8"/>
      <c r="Q707" s="8"/>
      <c r="R707" s="8"/>
      <c r="S707" s="8"/>
      <c r="T707" s="8"/>
      <c r="U707" s="18"/>
      <c r="V707" s="18"/>
      <c r="W707" s="18"/>
      <c r="X707" s="18"/>
      <c r="Y707" s="18"/>
      <c r="Z707" s="8"/>
      <c r="AA707" s="18"/>
      <c r="AB707" s="18"/>
      <c r="AC707" s="8">
        <f t="shared" si="41"/>
        <v>0</v>
      </c>
      <c r="AD707" s="18"/>
      <c r="AE707" s="18"/>
      <c r="AF707" s="8"/>
      <c r="AG707" s="18"/>
      <c r="AH707" s="8"/>
      <c r="AI707" s="8"/>
      <c r="AJ707" s="8"/>
      <c r="AK707" s="8">
        <f t="shared" si="38"/>
        <v>0</v>
      </c>
      <c r="AL707" s="8">
        <f t="shared" si="39"/>
        <v>93</v>
      </c>
      <c r="AM707" s="9"/>
    </row>
    <row r="708" spans="1:39" ht="24.95" customHeight="1">
      <c r="A708" s="17" t="s">
        <v>745</v>
      </c>
      <c r="B708" s="8">
        <v>93</v>
      </c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18"/>
      <c r="N708" s="8"/>
      <c r="O708" s="8"/>
      <c r="P708" s="8"/>
      <c r="Q708" s="8"/>
      <c r="R708" s="8"/>
      <c r="S708" s="8"/>
      <c r="T708" s="8"/>
      <c r="U708" s="18"/>
      <c r="V708" s="18"/>
      <c r="W708" s="18"/>
      <c r="X708" s="18"/>
      <c r="Y708" s="18"/>
      <c r="Z708" s="8"/>
      <c r="AA708" s="18"/>
      <c r="AB708" s="18"/>
      <c r="AC708" s="8">
        <f t="shared" si="41"/>
        <v>0</v>
      </c>
      <c r="AD708" s="18"/>
      <c r="AE708" s="18"/>
      <c r="AF708" s="8"/>
      <c r="AG708" s="18"/>
      <c r="AH708" s="8"/>
      <c r="AI708" s="8"/>
      <c r="AJ708" s="8"/>
      <c r="AK708" s="8">
        <f t="shared" si="38"/>
        <v>0</v>
      </c>
      <c r="AL708" s="8">
        <f t="shared" si="39"/>
        <v>93</v>
      </c>
      <c r="AM708" s="9"/>
    </row>
    <row r="709" spans="1:39" ht="24.95" customHeight="1">
      <c r="A709" s="17" t="s">
        <v>746</v>
      </c>
      <c r="B709" s="8">
        <v>0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18"/>
      <c r="N709" s="8"/>
      <c r="O709" s="8"/>
      <c r="P709" s="8"/>
      <c r="Q709" s="8"/>
      <c r="R709" s="8"/>
      <c r="S709" s="8"/>
      <c r="T709" s="8"/>
      <c r="U709" s="18"/>
      <c r="V709" s="18"/>
      <c r="W709" s="18"/>
      <c r="X709" s="18"/>
      <c r="Y709" s="18"/>
      <c r="Z709" s="8"/>
      <c r="AA709" s="18"/>
      <c r="AB709" s="18"/>
      <c r="AC709" s="8">
        <f t="shared" si="41"/>
        <v>0</v>
      </c>
      <c r="AD709" s="18"/>
      <c r="AE709" s="18"/>
      <c r="AF709" s="8"/>
      <c r="AG709" s="18"/>
      <c r="AH709" s="8"/>
      <c r="AI709" s="8"/>
      <c r="AJ709" s="8"/>
      <c r="AK709" s="8">
        <f t="shared" si="38"/>
        <v>0</v>
      </c>
      <c r="AL709" s="8">
        <f t="shared" si="39"/>
        <v>0</v>
      </c>
      <c r="AM709" s="9"/>
    </row>
    <row r="710" spans="1:39" ht="24.95" customHeight="1">
      <c r="A710" s="17" t="s">
        <v>747</v>
      </c>
      <c r="B710" s="8">
        <v>0</v>
      </c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18"/>
      <c r="N710" s="8"/>
      <c r="O710" s="8"/>
      <c r="P710" s="8"/>
      <c r="Q710" s="8"/>
      <c r="R710" s="8"/>
      <c r="S710" s="8"/>
      <c r="T710" s="8"/>
      <c r="U710" s="18"/>
      <c r="V710" s="18"/>
      <c r="W710" s="18"/>
      <c r="X710" s="18"/>
      <c r="Y710" s="18"/>
      <c r="Z710" s="8"/>
      <c r="AA710" s="18"/>
      <c r="AB710" s="18"/>
      <c r="AC710" s="8">
        <f t="shared" si="41"/>
        <v>0</v>
      </c>
      <c r="AD710" s="18"/>
      <c r="AE710" s="18"/>
      <c r="AF710" s="8"/>
      <c r="AG710" s="18"/>
      <c r="AH710" s="8"/>
      <c r="AI710" s="8"/>
      <c r="AJ710" s="8"/>
      <c r="AK710" s="8">
        <f t="shared" si="38"/>
        <v>0</v>
      </c>
      <c r="AL710" s="8">
        <f t="shared" si="39"/>
        <v>0</v>
      </c>
      <c r="AM710" s="9"/>
    </row>
    <row r="711" spans="1:39" ht="24.95" customHeight="1">
      <c r="A711" s="17" t="s">
        <v>748</v>
      </c>
      <c r="B711" s="8">
        <v>0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18"/>
      <c r="N711" s="8"/>
      <c r="O711" s="8"/>
      <c r="P711" s="8"/>
      <c r="Q711" s="8"/>
      <c r="R711" s="8"/>
      <c r="S711" s="8"/>
      <c r="T711" s="8"/>
      <c r="U711" s="18"/>
      <c r="V711" s="18"/>
      <c r="W711" s="18"/>
      <c r="X711" s="18"/>
      <c r="Y711" s="18"/>
      <c r="Z711" s="8"/>
      <c r="AA711" s="18"/>
      <c r="AB711" s="18"/>
      <c r="AC711" s="8">
        <f t="shared" si="41"/>
        <v>0</v>
      </c>
      <c r="AD711" s="18"/>
      <c r="AE711" s="18"/>
      <c r="AF711" s="8"/>
      <c r="AG711" s="18"/>
      <c r="AH711" s="8"/>
      <c r="AI711" s="8"/>
      <c r="AJ711" s="8"/>
      <c r="AK711" s="8">
        <f t="shared" si="38"/>
        <v>0</v>
      </c>
      <c r="AL711" s="8">
        <f t="shared" si="39"/>
        <v>0</v>
      </c>
      <c r="AM711" s="9"/>
    </row>
    <row r="712" spans="1:39" ht="24.95" customHeight="1">
      <c r="A712" s="17" t="s">
        <v>749</v>
      </c>
      <c r="B712" s="8">
        <v>0</v>
      </c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18"/>
      <c r="N712" s="8"/>
      <c r="O712" s="8"/>
      <c r="P712" s="8"/>
      <c r="Q712" s="8"/>
      <c r="R712" s="8"/>
      <c r="S712" s="8"/>
      <c r="T712" s="8"/>
      <c r="U712" s="18"/>
      <c r="V712" s="18"/>
      <c r="W712" s="18"/>
      <c r="X712" s="18"/>
      <c r="Y712" s="18"/>
      <c r="Z712" s="8"/>
      <c r="AA712" s="18"/>
      <c r="AB712" s="18"/>
      <c r="AC712" s="8">
        <f t="shared" si="41"/>
        <v>0</v>
      </c>
      <c r="AD712" s="18"/>
      <c r="AE712" s="18"/>
      <c r="AF712" s="8"/>
      <c r="AG712" s="18"/>
      <c r="AH712" s="8"/>
      <c r="AI712" s="8"/>
      <c r="AJ712" s="8"/>
      <c r="AK712" s="8">
        <f t="shared" si="38"/>
        <v>0</v>
      </c>
      <c r="AL712" s="8">
        <f t="shared" si="39"/>
        <v>0</v>
      </c>
      <c r="AM712" s="9"/>
    </row>
    <row r="713" spans="1:39" ht="24.95" customHeight="1">
      <c r="A713" s="17" t="s">
        <v>750</v>
      </c>
      <c r="B713" s="8">
        <v>42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18"/>
      <c r="N713" s="8"/>
      <c r="O713" s="8"/>
      <c r="P713" s="8"/>
      <c r="Q713" s="8"/>
      <c r="R713" s="8"/>
      <c r="S713" s="8"/>
      <c r="T713" s="8"/>
      <c r="U713" s="18"/>
      <c r="V713" s="18"/>
      <c r="W713" s="18"/>
      <c r="X713" s="18"/>
      <c r="Y713" s="18"/>
      <c r="Z713" s="8"/>
      <c r="AA713" s="18"/>
      <c r="AB713" s="18"/>
      <c r="AC713" s="8">
        <f t="shared" si="41"/>
        <v>0</v>
      </c>
      <c r="AD713" s="18"/>
      <c r="AE713" s="18"/>
      <c r="AF713" s="8"/>
      <c r="AG713" s="18"/>
      <c r="AH713" s="8"/>
      <c r="AI713" s="8"/>
      <c r="AJ713" s="8"/>
      <c r="AK713" s="8">
        <f t="shared" si="38"/>
        <v>0</v>
      </c>
      <c r="AL713" s="8">
        <f t="shared" si="39"/>
        <v>42</v>
      </c>
      <c r="AM713" s="9"/>
    </row>
    <row r="714" spans="1:39" ht="24.95" customHeight="1">
      <c r="A714" s="17" t="s">
        <v>751</v>
      </c>
      <c r="B714" s="8">
        <v>43</v>
      </c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18"/>
      <c r="N714" s="8"/>
      <c r="O714" s="8"/>
      <c r="P714" s="8"/>
      <c r="Q714" s="8"/>
      <c r="R714" s="8"/>
      <c r="S714" s="8"/>
      <c r="T714" s="8"/>
      <c r="U714" s="18"/>
      <c r="V714" s="18"/>
      <c r="W714" s="18"/>
      <c r="X714" s="18"/>
      <c r="Y714" s="18"/>
      <c r="Z714" s="8"/>
      <c r="AA714" s="18"/>
      <c r="AB714" s="18"/>
      <c r="AC714" s="8">
        <f t="shared" si="41"/>
        <v>0</v>
      </c>
      <c r="AD714" s="18"/>
      <c r="AE714" s="18"/>
      <c r="AF714" s="8"/>
      <c r="AG714" s="18"/>
      <c r="AH714" s="8"/>
      <c r="AI714" s="8"/>
      <c r="AJ714" s="8"/>
      <c r="AK714" s="8">
        <f t="shared" si="38"/>
        <v>0</v>
      </c>
      <c r="AL714" s="8">
        <f t="shared" si="39"/>
        <v>43</v>
      </c>
      <c r="AM714" s="9"/>
    </row>
    <row r="715" spans="1:39" ht="24.95" customHeight="1">
      <c r="A715" s="17" t="s">
        <v>752</v>
      </c>
      <c r="B715" s="8">
        <v>0</v>
      </c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18"/>
      <c r="N715" s="8"/>
      <c r="O715" s="8"/>
      <c r="P715" s="8"/>
      <c r="Q715" s="8"/>
      <c r="R715" s="8"/>
      <c r="S715" s="8"/>
      <c r="T715" s="8"/>
      <c r="U715" s="18"/>
      <c r="V715" s="18"/>
      <c r="W715" s="18"/>
      <c r="X715" s="18"/>
      <c r="Y715" s="18"/>
      <c r="Z715" s="8"/>
      <c r="AA715" s="18"/>
      <c r="AB715" s="18"/>
      <c r="AC715" s="8">
        <f t="shared" si="41"/>
        <v>0</v>
      </c>
      <c r="AD715" s="18"/>
      <c r="AE715" s="18"/>
      <c r="AF715" s="8"/>
      <c r="AG715" s="18"/>
      <c r="AH715" s="8"/>
      <c r="AI715" s="8"/>
      <c r="AJ715" s="8"/>
      <c r="AK715" s="8">
        <f t="shared" si="38"/>
        <v>0</v>
      </c>
      <c r="AL715" s="8">
        <f t="shared" si="39"/>
        <v>0</v>
      </c>
      <c r="AM715" s="9"/>
    </row>
    <row r="716" spans="1:39" ht="24.95" customHeight="1">
      <c r="A716" s="17" t="s">
        <v>753</v>
      </c>
      <c r="B716" s="8">
        <v>0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18"/>
      <c r="N716" s="8"/>
      <c r="O716" s="8"/>
      <c r="P716" s="8"/>
      <c r="Q716" s="8"/>
      <c r="R716" s="8"/>
      <c r="S716" s="8"/>
      <c r="T716" s="8"/>
      <c r="U716" s="18"/>
      <c r="V716" s="18"/>
      <c r="W716" s="18"/>
      <c r="X716" s="18"/>
      <c r="Y716" s="18"/>
      <c r="Z716" s="8"/>
      <c r="AA716" s="18"/>
      <c r="AB716" s="18"/>
      <c r="AC716" s="8">
        <f t="shared" si="41"/>
        <v>0</v>
      </c>
      <c r="AD716" s="18"/>
      <c r="AE716" s="18"/>
      <c r="AF716" s="8"/>
      <c r="AG716" s="18"/>
      <c r="AH716" s="8"/>
      <c r="AI716" s="8"/>
      <c r="AJ716" s="8"/>
      <c r="AK716" s="8">
        <f t="shared" si="38"/>
        <v>0</v>
      </c>
      <c r="AL716" s="8">
        <f t="shared" si="39"/>
        <v>0</v>
      </c>
      <c r="AM716" s="9"/>
    </row>
    <row r="717" spans="1:39" ht="24.95" customHeight="1">
      <c r="A717" s="17" t="s">
        <v>754</v>
      </c>
      <c r="B717" s="8">
        <v>0</v>
      </c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18"/>
      <c r="N717" s="8"/>
      <c r="O717" s="8"/>
      <c r="P717" s="8"/>
      <c r="Q717" s="8"/>
      <c r="R717" s="8"/>
      <c r="S717" s="8"/>
      <c r="T717" s="8"/>
      <c r="U717" s="18"/>
      <c r="V717" s="18"/>
      <c r="W717" s="18"/>
      <c r="X717" s="18"/>
      <c r="Y717" s="18"/>
      <c r="Z717" s="8"/>
      <c r="AA717" s="18"/>
      <c r="AB717" s="18"/>
      <c r="AC717" s="8">
        <f t="shared" si="41"/>
        <v>0</v>
      </c>
      <c r="AD717" s="18"/>
      <c r="AE717" s="18"/>
      <c r="AF717" s="8"/>
      <c r="AG717" s="18"/>
      <c r="AH717" s="8"/>
      <c r="AI717" s="8"/>
      <c r="AJ717" s="8"/>
      <c r="AK717" s="8">
        <f t="shared" si="38"/>
        <v>0</v>
      </c>
      <c r="AL717" s="8">
        <f t="shared" si="39"/>
        <v>0</v>
      </c>
      <c r="AM717" s="9"/>
    </row>
    <row r="718" spans="1:39" ht="24.95" customHeight="1">
      <c r="A718" s="17" t="s">
        <v>755</v>
      </c>
      <c r="B718" s="8">
        <v>0</v>
      </c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18"/>
      <c r="N718" s="8"/>
      <c r="O718" s="8"/>
      <c r="P718" s="8"/>
      <c r="Q718" s="8"/>
      <c r="R718" s="8"/>
      <c r="S718" s="8"/>
      <c r="T718" s="8"/>
      <c r="U718" s="18"/>
      <c r="V718" s="18"/>
      <c r="W718" s="18"/>
      <c r="X718" s="18"/>
      <c r="Y718" s="18"/>
      <c r="Z718" s="8"/>
      <c r="AA718" s="18"/>
      <c r="AB718" s="18"/>
      <c r="AC718" s="8">
        <f t="shared" si="41"/>
        <v>0</v>
      </c>
      <c r="AD718" s="18"/>
      <c r="AE718" s="18"/>
      <c r="AF718" s="8"/>
      <c r="AG718" s="18"/>
      <c r="AH718" s="8"/>
      <c r="AI718" s="8"/>
      <c r="AJ718" s="8"/>
      <c r="AK718" s="8">
        <f t="shared" si="38"/>
        <v>0</v>
      </c>
      <c r="AL718" s="8">
        <f t="shared" si="39"/>
        <v>0</v>
      </c>
      <c r="AM718" s="9"/>
    </row>
    <row r="719" spans="1:39" ht="24.95" customHeight="1">
      <c r="A719" s="17" t="s">
        <v>756</v>
      </c>
      <c r="B719" s="8">
        <v>0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18"/>
      <c r="N719" s="8"/>
      <c r="O719" s="8"/>
      <c r="P719" s="8"/>
      <c r="Q719" s="8"/>
      <c r="R719" s="8"/>
      <c r="S719" s="8"/>
      <c r="T719" s="8"/>
      <c r="U719" s="18"/>
      <c r="V719" s="18"/>
      <c r="W719" s="18"/>
      <c r="X719" s="18"/>
      <c r="Y719" s="18"/>
      <c r="Z719" s="8"/>
      <c r="AA719" s="18"/>
      <c r="AB719" s="18"/>
      <c r="AC719" s="8">
        <f t="shared" si="41"/>
        <v>0</v>
      </c>
      <c r="AD719" s="18"/>
      <c r="AE719" s="18"/>
      <c r="AF719" s="8"/>
      <c r="AG719" s="18"/>
      <c r="AH719" s="8"/>
      <c r="AI719" s="8"/>
      <c r="AJ719" s="8"/>
      <c r="AK719" s="8">
        <f t="shared" si="38"/>
        <v>0</v>
      </c>
      <c r="AL719" s="8">
        <f t="shared" si="39"/>
        <v>0</v>
      </c>
      <c r="AM719" s="9"/>
    </row>
    <row r="720" spans="1:39" ht="24.95" customHeight="1">
      <c r="A720" s="17" t="s">
        <v>757</v>
      </c>
      <c r="B720" s="8">
        <v>0</v>
      </c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18"/>
      <c r="N720" s="8"/>
      <c r="O720" s="8"/>
      <c r="P720" s="8"/>
      <c r="Q720" s="8"/>
      <c r="R720" s="8"/>
      <c r="S720" s="8"/>
      <c r="T720" s="8"/>
      <c r="U720" s="18"/>
      <c r="V720" s="18"/>
      <c r="W720" s="18"/>
      <c r="X720" s="18"/>
      <c r="Y720" s="18"/>
      <c r="Z720" s="8"/>
      <c r="AA720" s="18"/>
      <c r="AB720" s="18"/>
      <c r="AC720" s="8">
        <f t="shared" si="41"/>
        <v>0</v>
      </c>
      <c r="AD720" s="18"/>
      <c r="AE720" s="18"/>
      <c r="AF720" s="8"/>
      <c r="AG720" s="18"/>
      <c r="AH720" s="8"/>
      <c r="AI720" s="8"/>
      <c r="AJ720" s="8"/>
      <c r="AK720" s="8">
        <f t="shared" si="38"/>
        <v>0</v>
      </c>
      <c r="AL720" s="8">
        <f t="shared" si="39"/>
        <v>0</v>
      </c>
      <c r="AM720" s="9"/>
    </row>
    <row r="721" spans="1:39" ht="24.95" customHeight="1">
      <c r="A721" s="17" t="s">
        <v>758</v>
      </c>
      <c r="B721" s="8">
        <v>0</v>
      </c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18"/>
      <c r="N721" s="8"/>
      <c r="O721" s="8"/>
      <c r="P721" s="8"/>
      <c r="Q721" s="8"/>
      <c r="R721" s="8"/>
      <c r="S721" s="8"/>
      <c r="T721" s="8"/>
      <c r="U721" s="18"/>
      <c r="V721" s="18"/>
      <c r="W721" s="18"/>
      <c r="X721" s="18"/>
      <c r="Y721" s="18"/>
      <c r="Z721" s="8"/>
      <c r="AA721" s="18"/>
      <c r="AB721" s="18"/>
      <c r="AC721" s="8">
        <f t="shared" si="41"/>
        <v>0</v>
      </c>
      <c r="AD721" s="18"/>
      <c r="AE721" s="18"/>
      <c r="AF721" s="8"/>
      <c r="AG721" s="18"/>
      <c r="AH721" s="8"/>
      <c r="AI721" s="8"/>
      <c r="AJ721" s="8"/>
      <c r="AK721" s="8">
        <f t="shared" si="38"/>
        <v>0</v>
      </c>
      <c r="AL721" s="8">
        <f t="shared" si="39"/>
        <v>0</v>
      </c>
      <c r="AM721" s="9"/>
    </row>
    <row r="722" spans="1:39" ht="24.95" customHeight="1">
      <c r="A722" s="17" t="s">
        <v>759</v>
      </c>
      <c r="B722" s="8">
        <v>0</v>
      </c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18"/>
      <c r="N722" s="8"/>
      <c r="O722" s="8"/>
      <c r="P722" s="8"/>
      <c r="Q722" s="8"/>
      <c r="R722" s="8"/>
      <c r="S722" s="8"/>
      <c r="T722" s="8"/>
      <c r="U722" s="18"/>
      <c r="V722" s="18"/>
      <c r="W722" s="18"/>
      <c r="X722" s="18"/>
      <c r="Y722" s="18"/>
      <c r="Z722" s="8"/>
      <c r="AA722" s="18"/>
      <c r="AB722" s="18"/>
      <c r="AC722" s="8">
        <f t="shared" si="41"/>
        <v>0</v>
      </c>
      <c r="AD722" s="18"/>
      <c r="AE722" s="18"/>
      <c r="AF722" s="8"/>
      <c r="AG722" s="18"/>
      <c r="AH722" s="8"/>
      <c r="AI722" s="8"/>
      <c r="AJ722" s="8"/>
      <c r="AK722" s="8">
        <f t="shared" si="38"/>
        <v>0</v>
      </c>
      <c r="AL722" s="8">
        <f t="shared" si="39"/>
        <v>0</v>
      </c>
      <c r="AM722" s="9"/>
    </row>
    <row r="723" spans="1:39" ht="24.95" customHeight="1">
      <c r="A723" s="17" t="s">
        <v>760</v>
      </c>
      <c r="B723" s="8">
        <v>0</v>
      </c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18"/>
      <c r="N723" s="8"/>
      <c r="O723" s="8"/>
      <c r="P723" s="8"/>
      <c r="Q723" s="8"/>
      <c r="R723" s="8"/>
      <c r="S723" s="8"/>
      <c r="T723" s="8"/>
      <c r="U723" s="18"/>
      <c r="V723" s="18"/>
      <c r="W723" s="18"/>
      <c r="X723" s="18"/>
      <c r="Y723" s="18"/>
      <c r="Z723" s="8"/>
      <c r="AA723" s="18"/>
      <c r="AB723" s="18"/>
      <c r="AC723" s="8">
        <f t="shared" si="41"/>
        <v>0</v>
      </c>
      <c r="AD723" s="18"/>
      <c r="AE723" s="18"/>
      <c r="AF723" s="8"/>
      <c r="AG723" s="18"/>
      <c r="AH723" s="8"/>
      <c r="AI723" s="8"/>
      <c r="AJ723" s="8"/>
      <c r="AK723" s="8">
        <f t="shared" si="38"/>
        <v>0</v>
      </c>
      <c r="AL723" s="8">
        <f t="shared" si="39"/>
        <v>0</v>
      </c>
      <c r="AM723" s="9"/>
    </row>
    <row r="724" spans="1:39" ht="24.95" customHeight="1">
      <c r="A724" s="17" t="s">
        <v>761</v>
      </c>
      <c r="B724" s="8">
        <v>0</v>
      </c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18"/>
      <c r="N724" s="8"/>
      <c r="O724" s="8"/>
      <c r="P724" s="8"/>
      <c r="Q724" s="8"/>
      <c r="R724" s="8"/>
      <c r="S724" s="8"/>
      <c r="T724" s="8"/>
      <c r="U724" s="18"/>
      <c r="V724" s="18"/>
      <c r="W724" s="18"/>
      <c r="X724" s="18"/>
      <c r="Y724" s="18"/>
      <c r="Z724" s="8"/>
      <c r="AA724" s="18"/>
      <c r="AB724" s="18"/>
      <c r="AC724" s="8">
        <f t="shared" si="41"/>
        <v>0</v>
      </c>
      <c r="AD724" s="18"/>
      <c r="AE724" s="18"/>
      <c r="AF724" s="8"/>
      <c r="AG724" s="18"/>
      <c r="AH724" s="8"/>
      <c r="AI724" s="8"/>
      <c r="AJ724" s="8"/>
      <c r="AK724" s="8">
        <f t="shared" si="38"/>
        <v>0</v>
      </c>
      <c r="AL724" s="8">
        <f t="shared" si="39"/>
        <v>0</v>
      </c>
      <c r="AM724" s="9"/>
    </row>
    <row r="725" spans="1:39" ht="24.95" customHeight="1">
      <c r="A725" s="17" t="s">
        <v>762</v>
      </c>
      <c r="B725" s="8">
        <v>0</v>
      </c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18"/>
      <c r="N725" s="8"/>
      <c r="O725" s="8"/>
      <c r="P725" s="8"/>
      <c r="Q725" s="8"/>
      <c r="R725" s="8"/>
      <c r="S725" s="8"/>
      <c r="T725" s="8"/>
      <c r="U725" s="18"/>
      <c r="V725" s="18"/>
      <c r="W725" s="18"/>
      <c r="X725" s="18"/>
      <c r="Y725" s="18"/>
      <c r="Z725" s="8"/>
      <c r="AA725" s="18"/>
      <c r="AB725" s="18"/>
      <c r="AC725" s="8">
        <f t="shared" si="41"/>
        <v>0</v>
      </c>
      <c r="AD725" s="18"/>
      <c r="AE725" s="18"/>
      <c r="AF725" s="8"/>
      <c r="AG725" s="18"/>
      <c r="AH725" s="8"/>
      <c r="AI725" s="8"/>
      <c r="AJ725" s="8"/>
      <c r="AK725" s="8">
        <f t="shared" ref="AK725:AK794" si="42">SUM((D725+P725+G725+L725+S725+X725+Z725+AD725+M725+J725+V725+AB725+F725+AG725+O725+AI725)+(-N725-E725-R725-Q725-T725-Y725-AA725-AE725-AJ725-K725-I725-H725-U725-AC725-AF725-AH725-W725))</f>
        <v>0</v>
      </c>
      <c r="AL725" s="8">
        <f t="shared" ref="AL725:AL794" si="43">B725+AK725</f>
        <v>0</v>
      </c>
      <c r="AM725" s="9"/>
    </row>
    <row r="726" spans="1:39" ht="24.95" customHeight="1">
      <c r="A726" s="17" t="s">
        <v>763</v>
      </c>
      <c r="B726" s="8">
        <v>7</v>
      </c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18"/>
      <c r="N726" s="8"/>
      <c r="O726" s="8"/>
      <c r="P726" s="8"/>
      <c r="Q726" s="8"/>
      <c r="R726" s="8"/>
      <c r="S726" s="8"/>
      <c r="T726" s="8"/>
      <c r="U726" s="18"/>
      <c r="V726" s="18"/>
      <c r="W726" s="18"/>
      <c r="X726" s="18"/>
      <c r="Y726" s="18"/>
      <c r="Z726" s="8"/>
      <c r="AA726" s="18"/>
      <c r="AB726" s="18"/>
      <c r="AC726" s="8"/>
      <c r="AD726" s="18"/>
      <c r="AE726" s="18"/>
      <c r="AF726" s="8"/>
      <c r="AG726" s="18"/>
      <c r="AH726" s="8"/>
      <c r="AI726" s="8"/>
      <c r="AJ726" s="8">
        <v>4</v>
      </c>
      <c r="AK726" s="8">
        <f t="shared" si="42"/>
        <v>-4</v>
      </c>
      <c r="AL726" s="8">
        <f t="shared" si="43"/>
        <v>3</v>
      </c>
      <c r="AM726" s="9"/>
    </row>
    <row r="727" spans="1:39" ht="24.95" customHeight="1">
      <c r="A727" s="17" t="s">
        <v>764</v>
      </c>
      <c r="B727" s="8">
        <v>3868</v>
      </c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18"/>
      <c r="N727" s="8"/>
      <c r="O727" s="8"/>
      <c r="P727" s="8"/>
      <c r="Q727" s="8"/>
      <c r="R727" s="8"/>
      <c r="S727" s="8"/>
      <c r="T727" s="8"/>
      <c r="U727" s="18"/>
      <c r="V727" s="18"/>
      <c r="W727" s="18"/>
      <c r="X727" s="18"/>
      <c r="Y727" s="18"/>
      <c r="Z727" s="8"/>
      <c r="AA727" s="18">
        <f>+Z726*2</f>
        <v>0</v>
      </c>
      <c r="AB727" s="18"/>
      <c r="AC727" s="8"/>
      <c r="AD727" s="18"/>
      <c r="AE727" s="18"/>
      <c r="AF727" s="8"/>
      <c r="AG727" s="18"/>
      <c r="AH727" s="8"/>
      <c r="AI727" s="8"/>
      <c r="AJ727" s="8">
        <v>1</v>
      </c>
      <c r="AK727" s="8">
        <f t="shared" si="42"/>
        <v>-1</v>
      </c>
      <c r="AL727" s="8">
        <f t="shared" si="43"/>
        <v>3867</v>
      </c>
      <c r="AM727" s="9"/>
    </row>
    <row r="728" spans="1:39" ht="24.95" customHeight="1">
      <c r="A728" s="17" t="s">
        <v>765</v>
      </c>
      <c r="B728" s="8">
        <v>92</v>
      </c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18"/>
      <c r="N728" s="8"/>
      <c r="O728" s="8"/>
      <c r="P728" s="8"/>
      <c r="Q728" s="8"/>
      <c r="R728" s="8"/>
      <c r="S728" s="8"/>
      <c r="T728" s="8"/>
      <c r="U728" s="18"/>
      <c r="V728" s="18"/>
      <c r="W728" s="18"/>
      <c r="X728" s="18"/>
      <c r="Y728" s="18"/>
      <c r="Z728" s="8"/>
      <c r="AA728" s="18"/>
      <c r="AB728" s="18"/>
      <c r="AC728" s="8">
        <f t="shared" ref="AC728:AC743" si="44">+AB728</f>
        <v>0</v>
      </c>
      <c r="AD728" s="18"/>
      <c r="AE728" s="18"/>
      <c r="AF728" s="8"/>
      <c r="AG728" s="18"/>
      <c r="AH728" s="8"/>
      <c r="AI728" s="8"/>
      <c r="AJ728" s="8"/>
      <c r="AK728" s="8">
        <f t="shared" si="42"/>
        <v>0</v>
      </c>
      <c r="AL728" s="8">
        <f t="shared" si="43"/>
        <v>92</v>
      </c>
      <c r="AM728" s="9"/>
    </row>
    <row r="729" spans="1:39" ht="24.95" customHeight="1">
      <c r="A729" s="17" t="s">
        <v>766</v>
      </c>
      <c r="B729" s="8">
        <v>0</v>
      </c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18"/>
      <c r="N729" s="8"/>
      <c r="O729" s="8"/>
      <c r="P729" s="8"/>
      <c r="Q729" s="8"/>
      <c r="R729" s="8"/>
      <c r="S729" s="8"/>
      <c r="T729" s="8"/>
      <c r="U729" s="18"/>
      <c r="V729" s="18"/>
      <c r="W729" s="18"/>
      <c r="X729" s="18"/>
      <c r="Y729" s="18"/>
      <c r="Z729" s="8"/>
      <c r="AA729" s="18"/>
      <c r="AB729" s="18"/>
      <c r="AC729" s="8">
        <f t="shared" si="44"/>
        <v>0</v>
      </c>
      <c r="AD729" s="18"/>
      <c r="AE729" s="18"/>
      <c r="AF729" s="8"/>
      <c r="AG729" s="18"/>
      <c r="AH729" s="8"/>
      <c r="AI729" s="8"/>
      <c r="AJ729" s="8"/>
      <c r="AK729" s="8">
        <f t="shared" si="42"/>
        <v>0</v>
      </c>
      <c r="AL729" s="8">
        <f t="shared" si="43"/>
        <v>0</v>
      </c>
      <c r="AM729" s="9"/>
    </row>
    <row r="730" spans="1:39" ht="24.95" customHeight="1">
      <c r="A730" s="17" t="s">
        <v>767</v>
      </c>
      <c r="B730" s="8">
        <v>0</v>
      </c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18"/>
      <c r="N730" s="8"/>
      <c r="O730" s="8"/>
      <c r="P730" s="8"/>
      <c r="Q730" s="8"/>
      <c r="R730" s="8"/>
      <c r="S730" s="8"/>
      <c r="T730" s="8"/>
      <c r="U730" s="18"/>
      <c r="V730" s="18"/>
      <c r="W730" s="18"/>
      <c r="X730" s="18"/>
      <c r="Y730" s="18"/>
      <c r="Z730" s="8"/>
      <c r="AA730" s="18"/>
      <c r="AB730" s="18"/>
      <c r="AC730" s="8">
        <f t="shared" si="44"/>
        <v>0</v>
      </c>
      <c r="AD730" s="18"/>
      <c r="AE730" s="18"/>
      <c r="AF730" s="8"/>
      <c r="AG730" s="18"/>
      <c r="AH730" s="8"/>
      <c r="AI730" s="8"/>
      <c r="AJ730" s="8"/>
      <c r="AK730" s="8">
        <f t="shared" si="42"/>
        <v>0</v>
      </c>
      <c r="AL730" s="8">
        <f t="shared" si="43"/>
        <v>0</v>
      </c>
      <c r="AM730" s="9"/>
    </row>
    <row r="731" spans="1:39" ht="24.95" customHeight="1">
      <c r="A731" s="17" t="s">
        <v>768</v>
      </c>
      <c r="B731" s="8">
        <v>0</v>
      </c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18"/>
      <c r="N731" s="8"/>
      <c r="O731" s="8"/>
      <c r="P731" s="8"/>
      <c r="Q731" s="8"/>
      <c r="R731" s="8"/>
      <c r="S731" s="8"/>
      <c r="T731" s="8"/>
      <c r="U731" s="18"/>
      <c r="V731" s="18"/>
      <c r="W731" s="18"/>
      <c r="X731" s="18"/>
      <c r="Y731" s="18"/>
      <c r="Z731" s="8"/>
      <c r="AA731" s="18"/>
      <c r="AB731" s="18"/>
      <c r="AC731" s="8">
        <f t="shared" si="44"/>
        <v>0</v>
      </c>
      <c r="AD731" s="18"/>
      <c r="AE731" s="18"/>
      <c r="AF731" s="8"/>
      <c r="AG731" s="18"/>
      <c r="AH731" s="8"/>
      <c r="AI731" s="8"/>
      <c r="AJ731" s="8"/>
      <c r="AK731" s="8">
        <f t="shared" si="42"/>
        <v>0</v>
      </c>
      <c r="AL731" s="8">
        <f t="shared" si="43"/>
        <v>0</v>
      </c>
      <c r="AM731" s="9"/>
    </row>
    <row r="732" spans="1:39" ht="24.95" customHeight="1">
      <c r="A732" s="17" t="s">
        <v>769</v>
      </c>
      <c r="B732" s="8">
        <v>0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18"/>
      <c r="N732" s="8"/>
      <c r="O732" s="8"/>
      <c r="P732" s="8"/>
      <c r="Q732" s="8"/>
      <c r="R732" s="8"/>
      <c r="S732" s="8"/>
      <c r="T732" s="8"/>
      <c r="U732" s="18"/>
      <c r="V732" s="18"/>
      <c r="W732" s="18"/>
      <c r="X732" s="18"/>
      <c r="Y732" s="18"/>
      <c r="Z732" s="8"/>
      <c r="AA732" s="18"/>
      <c r="AB732" s="18"/>
      <c r="AC732" s="8">
        <f t="shared" si="44"/>
        <v>0</v>
      </c>
      <c r="AD732" s="18"/>
      <c r="AE732" s="18"/>
      <c r="AF732" s="8"/>
      <c r="AG732" s="18"/>
      <c r="AH732" s="8"/>
      <c r="AI732" s="8"/>
      <c r="AJ732" s="8"/>
      <c r="AK732" s="8">
        <f t="shared" si="42"/>
        <v>0</v>
      </c>
      <c r="AL732" s="8">
        <f t="shared" si="43"/>
        <v>0</v>
      </c>
      <c r="AM732" s="9"/>
    </row>
    <row r="733" spans="1:39" ht="24.95" customHeight="1">
      <c r="A733" s="17" t="s">
        <v>770</v>
      </c>
      <c r="B733" s="8">
        <v>0</v>
      </c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18"/>
      <c r="N733" s="8"/>
      <c r="O733" s="8"/>
      <c r="P733" s="8"/>
      <c r="Q733" s="8"/>
      <c r="R733" s="8"/>
      <c r="S733" s="8"/>
      <c r="T733" s="8"/>
      <c r="U733" s="18"/>
      <c r="V733" s="18"/>
      <c r="W733" s="18"/>
      <c r="X733" s="18"/>
      <c r="Y733" s="18"/>
      <c r="Z733" s="8"/>
      <c r="AA733" s="18"/>
      <c r="AB733" s="18"/>
      <c r="AC733" s="8">
        <f t="shared" si="44"/>
        <v>0</v>
      </c>
      <c r="AD733" s="18"/>
      <c r="AE733" s="18"/>
      <c r="AF733" s="8"/>
      <c r="AG733" s="18"/>
      <c r="AH733" s="8"/>
      <c r="AI733" s="8"/>
      <c r="AJ733" s="8"/>
      <c r="AK733" s="8">
        <f t="shared" si="42"/>
        <v>0</v>
      </c>
      <c r="AL733" s="8">
        <f t="shared" si="43"/>
        <v>0</v>
      </c>
      <c r="AM733" s="9"/>
    </row>
    <row r="734" spans="1:39" ht="24.95" customHeight="1">
      <c r="A734" s="17" t="s">
        <v>771</v>
      </c>
      <c r="B734" s="8">
        <v>0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18"/>
      <c r="N734" s="8"/>
      <c r="O734" s="8"/>
      <c r="P734" s="8"/>
      <c r="Q734" s="8"/>
      <c r="R734" s="8"/>
      <c r="S734" s="8"/>
      <c r="T734" s="8"/>
      <c r="U734" s="18"/>
      <c r="V734" s="18"/>
      <c r="W734" s="18"/>
      <c r="X734" s="18"/>
      <c r="Y734" s="18"/>
      <c r="Z734" s="8"/>
      <c r="AA734" s="18"/>
      <c r="AB734" s="18"/>
      <c r="AC734" s="8">
        <f t="shared" si="44"/>
        <v>0</v>
      </c>
      <c r="AD734" s="18"/>
      <c r="AE734" s="18"/>
      <c r="AF734" s="8"/>
      <c r="AG734" s="18"/>
      <c r="AH734" s="8"/>
      <c r="AI734" s="8"/>
      <c r="AJ734" s="8"/>
      <c r="AK734" s="8">
        <f t="shared" si="42"/>
        <v>0</v>
      </c>
      <c r="AL734" s="8">
        <f t="shared" si="43"/>
        <v>0</v>
      </c>
      <c r="AM734" s="9"/>
    </row>
    <row r="735" spans="1:39" ht="24.95" customHeight="1">
      <c r="A735" s="17" t="s">
        <v>772</v>
      </c>
      <c r="B735" s="8">
        <v>0</v>
      </c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18"/>
      <c r="N735" s="8"/>
      <c r="O735" s="8"/>
      <c r="P735" s="8"/>
      <c r="Q735" s="8"/>
      <c r="R735" s="8"/>
      <c r="S735" s="8"/>
      <c r="T735" s="8"/>
      <c r="U735" s="18"/>
      <c r="V735" s="18"/>
      <c r="W735" s="18"/>
      <c r="X735" s="18"/>
      <c r="Y735" s="18"/>
      <c r="Z735" s="8"/>
      <c r="AA735" s="18"/>
      <c r="AB735" s="18"/>
      <c r="AC735" s="8">
        <f t="shared" si="44"/>
        <v>0</v>
      </c>
      <c r="AD735" s="18"/>
      <c r="AE735" s="18"/>
      <c r="AF735" s="8"/>
      <c r="AG735" s="18"/>
      <c r="AH735" s="8"/>
      <c r="AI735" s="8"/>
      <c r="AJ735" s="8"/>
      <c r="AK735" s="8">
        <f t="shared" si="42"/>
        <v>0</v>
      </c>
      <c r="AL735" s="8">
        <f t="shared" si="43"/>
        <v>0</v>
      </c>
      <c r="AM735" s="9"/>
    </row>
    <row r="736" spans="1:39" ht="24.95" customHeight="1">
      <c r="A736" s="17" t="s">
        <v>773</v>
      </c>
      <c r="B736" s="8">
        <v>0</v>
      </c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18"/>
      <c r="N736" s="8"/>
      <c r="O736" s="8"/>
      <c r="P736" s="8"/>
      <c r="Q736" s="8"/>
      <c r="R736" s="8"/>
      <c r="S736" s="8"/>
      <c r="T736" s="8"/>
      <c r="U736" s="18"/>
      <c r="V736" s="18"/>
      <c r="W736" s="18"/>
      <c r="X736" s="18"/>
      <c r="Y736" s="18"/>
      <c r="Z736" s="8"/>
      <c r="AA736" s="18"/>
      <c r="AB736" s="18"/>
      <c r="AC736" s="8">
        <f t="shared" si="44"/>
        <v>0</v>
      </c>
      <c r="AD736" s="18"/>
      <c r="AE736" s="18"/>
      <c r="AF736" s="8"/>
      <c r="AG736" s="18"/>
      <c r="AH736" s="8"/>
      <c r="AI736" s="8"/>
      <c r="AJ736" s="8"/>
      <c r="AK736" s="8">
        <f t="shared" si="42"/>
        <v>0</v>
      </c>
      <c r="AL736" s="8">
        <f t="shared" si="43"/>
        <v>0</v>
      </c>
      <c r="AM736" s="9"/>
    </row>
    <row r="737" spans="1:39" ht="24.95" customHeight="1">
      <c r="A737" s="17" t="s">
        <v>774</v>
      </c>
      <c r="B737" s="8">
        <v>0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18"/>
      <c r="N737" s="8"/>
      <c r="O737" s="8"/>
      <c r="P737" s="8"/>
      <c r="Q737" s="8"/>
      <c r="R737" s="8"/>
      <c r="S737" s="8"/>
      <c r="T737" s="8"/>
      <c r="U737" s="18"/>
      <c r="V737" s="18"/>
      <c r="W737" s="18"/>
      <c r="X737" s="18"/>
      <c r="Y737" s="18"/>
      <c r="Z737" s="8"/>
      <c r="AA737" s="18"/>
      <c r="AB737" s="18"/>
      <c r="AC737" s="8">
        <f t="shared" si="44"/>
        <v>0</v>
      </c>
      <c r="AD737" s="18"/>
      <c r="AE737" s="18"/>
      <c r="AF737" s="8"/>
      <c r="AG737" s="18"/>
      <c r="AH737" s="8"/>
      <c r="AI737" s="8"/>
      <c r="AJ737" s="8"/>
      <c r="AK737" s="8">
        <f t="shared" si="42"/>
        <v>0</v>
      </c>
      <c r="AL737" s="8">
        <f t="shared" si="43"/>
        <v>0</v>
      </c>
      <c r="AM737" s="9"/>
    </row>
    <row r="738" spans="1:39" ht="24.95" customHeight="1">
      <c r="A738" s="17" t="s">
        <v>775</v>
      </c>
      <c r="B738" s="8">
        <v>0</v>
      </c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18"/>
      <c r="N738" s="8"/>
      <c r="O738" s="8"/>
      <c r="P738" s="8"/>
      <c r="Q738" s="8"/>
      <c r="R738" s="8"/>
      <c r="S738" s="8"/>
      <c r="T738" s="8"/>
      <c r="U738" s="18"/>
      <c r="V738" s="18"/>
      <c r="W738" s="18"/>
      <c r="X738" s="18"/>
      <c r="Y738" s="18"/>
      <c r="Z738" s="8"/>
      <c r="AA738" s="18"/>
      <c r="AB738" s="18"/>
      <c r="AC738" s="8">
        <f t="shared" si="44"/>
        <v>0</v>
      </c>
      <c r="AD738" s="18"/>
      <c r="AE738" s="18"/>
      <c r="AF738" s="8"/>
      <c r="AG738" s="18"/>
      <c r="AH738" s="8"/>
      <c r="AI738" s="8"/>
      <c r="AJ738" s="8"/>
      <c r="AK738" s="8">
        <f t="shared" si="42"/>
        <v>0</v>
      </c>
      <c r="AL738" s="8">
        <f t="shared" si="43"/>
        <v>0</v>
      </c>
      <c r="AM738" s="9"/>
    </row>
    <row r="739" spans="1:39" ht="24.95" customHeight="1">
      <c r="A739" s="17" t="s">
        <v>776</v>
      </c>
      <c r="B739" s="8">
        <v>0</v>
      </c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18"/>
      <c r="N739" s="8"/>
      <c r="O739" s="8"/>
      <c r="P739" s="8"/>
      <c r="Q739" s="8"/>
      <c r="R739" s="8"/>
      <c r="S739" s="8"/>
      <c r="T739" s="8"/>
      <c r="U739" s="18"/>
      <c r="V739" s="18"/>
      <c r="W739" s="18"/>
      <c r="X739" s="18"/>
      <c r="Y739" s="18"/>
      <c r="Z739" s="8"/>
      <c r="AA739" s="18"/>
      <c r="AB739" s="18"/>
      <c r="AC739" s="8">
        <f t="shared" si="44"/>
        <v>0</v>
      </c>
      <c r="AD739" s="18"/>
      <c r="AE739" s="18"/>
      <c r="AF739" s="8"/>
      <c r="AG739" s="18"/>
      <c r="AH739" s="8"/>
      <c r="AI739" s="8"/>
      <c r="AJ739" s="8"/>
      <c r="AK739" s="8">
        <f t="shared" si="42"/>
        <v>0</v>
      </c>
      <c r="AL739" s="8">
        <f t="shared" si="43"/>
        <v>0</v>
      </c>
      <c r="AM739" s="9"/>
    </row>
    <row r="740" spans="1:39" ht="24.95" customHeight="1">
      <c r="A740" s="17" t="s">
        <v>777</v>
      </c>
      <c r="B740" s="8">
        <v>0</v>
      </c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18"/>
      <c r="N740" s="8"/>
      <c r="O740" s="8"/>
      <c r="P740" s="8"/>
      <c r="Q740" s="8"/>
      <c r="R740" s="8"/>
      <c r="S740" s="8"/>
      <c r="T740" s="8"/>
      <c r="U740" s="18"/>
      <c r="V740" s="18"/>
      <c r="W740" s="18"/>
      <c r="X740" s="18"/>
      <c r="Y740" s="18"/>
      <c r="Z740" s="8"/>
      <c r="AA740" s="18"/>
      <c r="AB740" s="18"/>
      <c r="AC740" s="8">
        <f t="shared" si="44"/>
        <v>0</v>
      </c>
      <c r="AD740" s="18"/>
      <c r="AE740" s="18"/>
      <c r="AF740" s="8"/>
      <c r="AG740" s="18"/>
      <c r="AH740" s="8"/>
      <c r="AI740" s="8"/>
      <c r="AJ740" s="8"/>
      <c r="AK740" s="8">
        <f t="shared" si="42"/>
        <v>0</v>
      </c>
      <c r="AL740" s="8">
        <f t="shared" si="43"/>
        <v>0</v>
      </c>
      <c r="AM740" s="9"/>
    </row>
    <row r="741" spans="1:39" ht="24.95" customHeight="1">
      <c r="A741" s="17" t="s">
        <v>778</v>
      </c>
      <c r="B741" s="8">
        <v>0</v>
      </c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18"/>
      <c r="N741" s="8"/>
      <c r="O741" s="8"/>
      <c r="P741" s="8"/>
      <c r="Q741" s="8"/>
      <c r="R741" s="8"/>
      <c r="S741" s="8"/>
      <c r="T741" s="8"/>
      <c r="U741" s="18"/>
      <c r="V741" s="18"/>
      <c r="W741" s="18"/>
      <c r="X741" s="18"/>
      <c r="Y741" s="18"/>
      <c r="Z741" s="8"/>
      <c r="AA741" s="18"/>
      <c r="AB741" s="18"/>
      <c r="AC741" s="8">
        <f t="shared" si="44"/>
        <v>0</v>
      </c>
      <c r="AD741" s="18"/>
      <c r="AE741" s="18"/>
      <c r="AF741" s="8"/>
      <c r="AG741" s="18"/>
      <c r="AH741" s="8"/>
      <c r="AI741" s="8"/>
      <c r="AJ741" s="8"/>
      <c r="AK741" s="8">
        <f t="shared" si="42"/>
        <v>0</v>
      </c>
      <c r="AL741" s="8">
        <f t="shared" si="43"/>
        <v>0</v>
      </c>
      <c r="AM741" s="9"/>
    </row>
    <row r="742" spans="1:39" ht="24.95" customHeight="1">
      <c r="A742" s="17" t="s">
        <v>779</v>
      </c>
      <c r="B742" s="8">
        <v>7</v>
      </c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18"/>
      <c r="N742" s="8"/>
      <c r="O742" s="8"/>
      <c r="P742" s="8"/>
      <c r="Q742" s="8"/>
      <c r="R742" s="8"/>
      <c r="S742" s="8"/>
      <c r="T742" s="8"/>
      <c r="U742" s="18"/>
      <c r="V742" s="18"/>
      <c r="W742" s="18"/>
      <c r="X742" s="18"/>
      <c r="Y742" s="18"/>
      <c r="Z742" s="8"/>
      <c r="AA742" s="18"/>
      <c r="AB742" s="18"/>
      <c r="AC742" s="8">
        <f t="shared" si="44"/>
        <v>0</v>
      </c>
      <c r="AD742" s="18"/>
      <c r="AE742" s="18"/>
      <c r="AF742" s="8"/>
      <c r="AG742" s="18"/>
      <c r="AH742" s="8"/>
      <c r="AI742" s="8"/>
      <c r="AJ742" s="8"/>
      <c r="AK742" s="8">
        <f t="shared" si="42"/>
        <v>0</v>
      </c>
      <c r="AL742" s="8">
        <f t="shared" si="43"/>
        <v>7</v>
      </c>
      <c r="AM742" s="9"/>
    </row>
    <row r="743" spans="1:39" ht="24.95" customHeight="1">
      <c r="A743" s="17" t="s">
        <v>780</v>
      </c>
      <c r="B743" s="8">
        <v>6864</v>
      </c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18"/>
      <c r="N743" s="8"/>
      <c r="O743" s="8"/>
      <c r="P743" s="8"/>
      <c r="Q743" s="8"/>
      <c r="R743" s="8"/>
      <c r="S743" s="8"/>
      <c r="T743" s="8"/>
      <c r="U743" s="18"/>
      <c r="V743" s="18"/>
      <c r="W743" s="18"/>
      <c r="X743" s="18"/>
      <c r="Y743" s="18"/>
      <c r="Z743" s="8"/>
      <c r="AA743" s="18">
        <f>+Z744*2</f>
        <v>0</v>
      </c>
      <c r="AB743" s="18"/>
      <c r="AC743" s="8">
        <f t="shared" si="44"/>
        <v>0</v>
      </c>
      <c r="AD743" s="18"/>
      <c r="AE743" s="18"/>
      <c r="AF743" s="8"/>
      <c r="AG743" s="18"/>
      <c r="AH743" s="8"/>
      <c r="AI743" s="8"/>
      <c r="AJ743" s="8"/>
      <c r="AK743" s="8">
        <f t="shared" si="42"/>
        <v>0</v>
      </c>
      <c r="AL743" s="8">
        <f t="shared" si="43"/>
        <v>6864</v>
      </c>
      <c r="AM743" s="9"/>
    </row>
    <row r="744" spans="1:39" ht="24.95" customHeight="1">
      <c r="A744" s="17" t="s">
        <v>781</v>
      </c>
      <c r="B744" s="8">
        <v>0</v>
      </c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18"/>
      <c r="N744" s="8"/>
      <c r="O744" s="8"/>
      <c r="P744" s="8"/>
      <c r="Q744" s="8"/>
      <c r="R744" s="8"/>
      <c r="S744" s="8"/>
      <c r="T744" s="8"/>
      <c r="U744" s="18"/>
      <c r="V744" s="18"/>
      <c r="W744" s="18"/>
      <c r="X744" s="18"/>
      <c r="Y744" s="18"/>
      <c r="Z744" s="8"/>
      <c r="AA744" s="18"/>
      <c r="AB744" s="18"/>
      <c r="AC744" s="8"/>
      <c r="AD744" s="18"/>
      <c r="AE744" s="18"/>
      <c r="AF744" s="8"/>
      <c r="AG744" s="18"/>
      <c r="AH744" s="8"/>
      <c r="AI744" s="8"/>
      <c r="AJ744" s="8"/>
      <c r="AK744" s="8">
        <f t="shared" si="42"/>
        <v>0</v>
      </c>
      <c r="AL744" s="8">
        <f t="shared" si="43"/>
        <v>0</v>
      </c>
      <c r="AM744" s="9"/>
    </row>
    <row r="745" spans="1:39" ht="24.95" customHeight="1">
      <c r="A745" s="17" t="s">
        <v>782</v>
      </c>
      <c r="B745" s="8">
        <v>3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18"/>
      <c r="N745" s="8"/>
      <c r="O745" s="8"/>
      <c r="P745" s="8"/>
      <c r="Q745" s="8"/>
      <c r="R745" s="8"/>
      <c r="S745" s="8"/>
      <c r="T745" s="8"/>
      <c r="U745" s="18"/>
      <c r="V745" s="18"/>
      <c r="W745" s="18"/>
      <c r="X745" s="18"/>
      <c r="Y745" s="18"/>
      <c r="Z745" s="8"/>
      <c r="AA745" s="18"/>
      <c r="AB745" s="18"/>
      <c r="AC745" s="8"/>
      <c r="AD745" s="18"/>
      <c r="AE745" s="18"/>
      <c r="AF745" s="8"/>
      <c r="AG745" s="18"/>
      <c r="AH745" s="8"/>
      <c r="AI745" s="8"/>
      <c r="AJ745" s="8"/>
      <c r="AK745" s="8">
        <f t="shared" si="42"/>
        <v>0</v>
      </c>
      <c r="AL745" s="8">
        <f t="shared" si="43"/>
        <v>3</v>
      </c>
      <c r="AM745" s="9"/>
    </row>
    <row r="746" spans="1:39" ht="24.95" customHeight="1">
      <c r="A746" s="17" t="s">
        <v>783</v>
      </c>
      <c r="B746" s="8">
        <v>0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18"/>
      <c r="N746" s="8"/>
      <c r="O746" s="8"/>
      <c r="P746" s="8"/>
      <c r="Q746" s="8"/>
      <c r="R746" s="8"/>
      <c r="S746" s="8"/>
      <c r="T746" s="8"/>
      <c r="U746" s="18"/>
      <c r="V746" s="18"/>
      <c r="W746" s="18"/>
      <c r="X746" s="18">
        <f>+Y747*2</f>
        <v>226</v>
      </c>
      <c r="Y746" s="18"/>
      <c r="Z746" s="8"/>
      <c r="AA746" s="18">
        <f>+Z747*2</f>
        <v>0</v>
      </c>
      <c r="AB746" s="18"/>
      <c r="AC746" s="8">
        <f>+AB746</f>
        <v>0</v>
      </c>
      <c r="AD746" s="18"/>
      <c r="AE746" s="18"/>
      <c r="AF746" s="8"/>
      <c r="AG746" s="18"/>
      <c r="AH746" s="8"/>
      <c r="AI746" s="8"/>
      <c r="AJ746" s="8">
        <v>226</v>
      </c>
      <c r="AK746" s="8">
        <f t="shared" si="42"/>
        <v>0</v>
      </c>
      <c r="AL746" s="8">
        <f t="shared" si="43"/>
        <v>0</v>
      </c>
      <c r="AM746" s="9"/>
    </row>
    <row r="747" spans="1:39" ht="24.95" customHeight="1">
      <c r="A747" s="17" t="s">
        <v>784</v>
      </c>
      <c r="B747" s="8">
        <v>1487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18"/>
      <c r="N747" s="8"/>
      <c r="O747" s="8"/>
      <c r="P747" s="8"/>
      <c r="Q747" s="8"/>
      <c r="R747" s="8"/>
      <c r="S747" s="8"/>
      <c r="T747" s="8"/>
      <c r="U747" s="18"/>
      <c r="V747" s="18"/>
      <c r="W747" s="18"/>
      <c r="X747" s="18"/>
      <c r="Y747" s="18">
        <v>113</v>
      </c>
      <c r="Z747" s="8"/>
      <c r="AA747" s="18"/>
      <c r="AB747" s="18"/>
      <c r="AC747" s="8"/>
      <c r="AD747" s="18"/>
      <c r="AE747" s="18"/>
      <c r="AF747" s="8"/>
      <c r="AG747" s="18"/>
      <c r="AH747" s="8"/>
      <c r="AI747" s="8"/>
      <c r="AJ747" s="8"/>
      <c r="AK747" s="8">
        <f t="shared" si="42"/>
        <v>-113</v>
      </c>
      <c r="AL747" s="8">
        <f t="shared" si="43"/>
        <v>1374</v>
      </c>
      <c r="AM747" s="9"/>
    </row>
    <row r="748" spans="1:39" ht="24.95" customHeight="1">
      <c r="A748" s="17" t="s">
        <v>785</v>
      </c>
      <c r="B748" s="8">
        <v>1068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18"/>
      <c r="N748" s="8"/>
      <c r="O748" s="8"/>
      <c r="P748" s="8"/>
      <c r="Q748" s="8"/>
      <c r="R748" s="8"/>
      <c r="S748" s="8"/>
      <c r="T748" s="8"/>
      <c r="U748" s="18"/>
      <c r="V748" s="18"/>
      <c r="W748" s="18"/>
      <c r="X748" s="18"/>
      <c r="Y748" s="18"/>
      <c r="Z748" s="8"/>
      <c r="AA748" s="18"/>
      <c r="AB748" s="18"/>
      <c r="AC748" s="8"/>
      <c r="AD748" s="18"/>
      <c r="AE748" s="18"/>
      <c r="AF748" s="8"/>
      <c r="AG748" s="18"/>
      <c r="AH748" s="8"/>
      <c r="AI748" s="8"/>
      <c r="AJ748" s="8"/>
      <c r="AK748" s="8">
        <f t="shared" si="42"/>
        <v>0</v>
      </c>
      <c r="AL748" s="8">
        <f t="shared" si="43"/>
        <v>1068</v>
      </c>
      <c r="AM748" s="9"/>
    </row>
    <row r="749" spans="1:39" ht="24.95" customHeight="1">
      <c r="A749" s="17" t="s">
        <v>786</v>
      </c>
      <c r="B749" s="8">
        <v>6460</v>
      </c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18"/>
      <c r="N749" s="8"/>
      <c r="O749" s="8"/>
      <c r="P749" s="8"/>
      <c r="Q749" s="8"/>
      <c r="R749" s="8"/>
      <c r="S749" s="8"/>
      <c r="T749" s="8"/>
      <c r="U749" s="18"/>
      <c r="V749" s="18"/>
      <c r="W749" s="18"/>
      <c r="X749" s="18"/>
      <c r="Y749" s="18"/>
      <c r="Z749" s="8"/>
      <c r="AA749" s="18">
        <f>+Z750*2+Z751*3</f>
        <v>0</v>
      </c>
      <c r="AB749" s="18"/>
      <c r="AC749" s="8">
        <f>+AB749</f>
        <v>0</v>
      </c>
      <c r="AD749" s="18"/>
      <c r="AE749" s="18"/>
      <c r="AF749" s="8"/>
      <c r="AG749" s="18"/>
      <c r="AH749" s="8"/>
      <c r="AI749" s="8"/>
      <c r="AJ749" s="8"/>
      <c r="AK749" s="8">
        <f t="shared" si="42"/>
        <v>0</v>
      </c>
      <c r="AL749" s="8">
        <f t="shared" si="43"/>
        <v>6460</v>
      </c>
      <c r="AM749" s="9"/>
    </row>
    <row r="750" spans="1:39" ht="24.95" customHeight="1">
      <c r="A750" s="17" t="s">
        <v>787</v>
      </c>
      <c r="B750" s="8">
        <v>100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18"/>
      <c r="N750" s="8"/>
      <c r="O750" s="8"/>
      <c r="P750" s="8"/>
      <c r="Q750" s="8"/>
      <c r="R750" s="8"/>
      <c r="S750" s="8"/>
      <c r="T750" s="8"/>
      <c r="U750" s="18"/>
      <c r="V750" s="18"/>
      <c r="W750" s="18"/>
      <c r="X750" s="18"/>
      <c r="Y750" s="18"/>
      <c r="Z750" s="8"/>
      <c r="AA750" s="18"/>
      <c r="AB750" s="18"/>
      <c r="AC750" s="8"/>
      <c r="AD750" s="18"/>
      <c r="AE750" s="18"/>
      <c r="AF750" s="8"/>
      <c r="AG750" s="18"/>
      <c r="AH750" s="8"/>
      <c r="AI750" s="8"/>
      <c r="AJ750" s="8"/>
      <c r="AK750" s="8">
        <f t="shared" si="42"/>
        <v>0</v>
      </c>
      <c r="AL750" s="8">
        <f t="shared" si="43"/>
        <v>100</v>
      </c>
      <c r="AM750" s="9"/>
    </row>
    <row r="751" spans="1:39" ht="24.95" customHeight="1">
      <c r="A751" s="17" t="s">
        <v>788</v>
      </c>
      <c r="B751" s="8">
        <v>0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18"/>
      <c r="N751" s="8"/>
      <c r="O751" s="8"/>
      <c r="P751" s="8"/>
      <c r="Q751" s="8"/>
      <c r="R751" s="8"/>
      <c r="S751" s="8"/>
      <c r="T751" s="8"/>
      <c r="U751" s="18"/>
      <c r="V751" s="18"/>
      <c r="W751" s="18"/>
      <c r="X751" s="18"/>
      <c r="Y751" s="18"/>
      <c r="Z751" s="8"/>
      <c r="AA751" s="18"/>
      <c r="AB751" s="18"/>
      <c r="AC751" s="8"/>
      <c r="AD751" s="18"/>
      <c r="AE751" s="18"/>
      <c r="AF751" s="8"/>
      <c r="AG751" s="18"/>
      <c r="AH751" s="8"/>
      <c r="AI751" s="8"/>
      <c r="AJ751" s="8"/>
      <c r="AK751" s="8">
        <f t="shared" si="42"/>
        <v>0</v>
      </c>
      <c r="AL751" s="8">
        <f t="shared" si="43"/>
        <v>0</v>
      </c>
      <c r="AM751" s="9"/>
    </row>
    <row r="752" spans="1:39" ht="24.95" customHeight="1">
      <c r="A752" s="17" t="s">
        <v>789</v>
      </c>
      <c r="B752" s="8">
        <v>1196</v>
      </c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18"/>
      <c r="N752" s="8"/>
      <c r="O752" s="8"/>
      <c r="P752" s="8"/>
      <c r="Q752" s="8"/>
      <c r="R752" s="8"/>
      <c r="S752" s="8"/>
      <c r="T752" s="8"/>
      <c r="U752" s="18"/>
      <c r="V752" s="18"/>
      <c r="W752" s="18"/>
      <c r="X752" s="18"/>
      <c r="Y752" s="18"/>
      <c r="Z752" s="8"/>
      <c r="AA752" s="18">
        <f>+Z753*2</f>
        <v>0</v>
      </c>
      <c r="AB752" s="18"/>
      <c r="AC752" s="8"/>
      <c r="AD752" s="18"/>
      <c r="AE752" s="18"/>
      <c r="AF752" s="8"/>
      <c r="AG752" s="18"/>
      <c r="AH752" s="8"/>
      <c r="AI752" s="8"/>
      <c r="AJ752" s="8"/>
      <c r="AK752" s="8">
        <f t="shared" si="42"/>
        <v>0</v>
      </c>
      <c r="AL752" s="8">
        <f t="shared" si="43"/>
        <v>1196</v>
      </c>
      <c r="AM752" s="9"/>
    </row>
    <row r="753" spans="1:39" ht="24.95" customHeight="1">
      <c r="A753" s="17" t="s">
        <v>790</v>
      </c>
      <c r="B753" s="8">
        <v>0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18"/>
      <c r="N753" s="8"/>
      <c r="O753" s="8"/>
      <c r="P753" s="8"/>
      <c r="Q753" s="8"/>
      <c r="R753" s="8"/>
      <c r="S753" s="8"/>
      <c r="T753" s="8"/>
      <c r="U753" s="18"/>
      <c r="V753" s="18"/>
      <c r="W753" s="18"/>
      <c r="X753" s="18"/>
      <c r="Y753" s="18"/>
      <c r="Z753" s="8"/>
      <c r="AA753" s="18"/>
      <c r="AB753" s="18"/>
      <c r="AC753" s="8"/>
      <c r="AD753" s="18"/>
      <c r="AE753" s="18"/>
      <c r="AF753" s="8"/>
      <c r="AG753" s="18"/>
      <c r="AH753" s="8"/>
      <c r="AI753" s="8"/>
      <c r="AJ753" s="8"/>
      <c r="AK753" s="8">
        <f t="shared" si="42"/>
        <v>0</v>
      </c>
      <c r="AL753" s="8">
        <f t="shared" si="43"/>
        <v>0</v>
      </c>
      <c r="AM753" s="9"/>
    </row>
    <row r="754" spans="1:39" ht="24.95" customHeight="1">
      <c r="A754" s="17" t="s">
        <v>791</v>
      </c>
      <c r="B754" s="8">
        <v>100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18"/>
      <c r="N754" s="8"/>
      <c r="O754" s="8"/>
      <c r="P754" s="8"/>
      <c r="Q754" s="8"/>
      <c r="R754" s="8"/>
      <c r="S754" s="8"/>
      <c r="T754" s="8"/>
      <c r="U754" s="18"/>
      <c r="V754" s="18"/>
      <c r="W754" s="18"/>
      <c r="X754" s="18"/>
      <c r="Y754" s="18"/>
      <c r="Z754" s="8"/>
      <c r="AA754" s="18"/>
      <c r="AB754" s="18"/>
      <c r="AC754" s="8"/>
      <c r="AD754" s="18"/>
      <c r="AE754" s="18"/>
      <c r="AF754" s="8"/>
      <c r="AG754" s="18"/>
      <c r="AH754" s="8"/>
      <c r="AI754" s="8"/>
      <c r="AJ754" s="8"/>
      <c r="AK754" s="8">
        <f t="shared" si="42"/>
        <v>0</v>
      </c>
      <c r="AL754" s="8">
        <f t="shared" si="43"/>
        <v>100</v>
      </c>
      <c r="AM754" s="9"/>
    </row>
    <row r="755" spans="1:39" ht="24.95" customHeight="1">
      <c r="A755" s="17" t="s">
        <v>792</v>
      </c>
      <c r="B755" s="8">
        <v>5332</v>
      </c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18"/>
      <c r="N755" s="8"/>
      <c r="O755" s="8"/>
      <c r="P755" s="8"/>
      <c r="Q755" s="8"/>
      <c r="R755" s="8">
        <v>29</v>
      </c>
      <c r="S755" s="8"/>
      <c r="T755" s="8"/>
      <c r="U755" s="18"/>
      <c r="V755" s="18"/>
      <c r="W755" s="18"/>
      <c r="X755" s="18"/>
      <c r="Y755" s="18"/>
      <c r="Z755" s="8"/>
      <c r="AA755" s="18">
        <f>+Z756*2+Z757*3+Z758*4</f>
        <v>0</v>
      </c>
      <c r="AB755" s="18"/>
      <c r="AC755" s="8"/>
      <c r="AD755" s="18"/>
      <c r="AE755" s="18"/>
      <c r="AF755" s="8"/>
      <c r="AG755" s="18"/>
      <c r="AH755" s="8"/>
      <c r="AI755" s="8"/>
      <c r="AJ755" s="8">
        <v>31</v>
      </c>
      <c r="AK755" s="8">
        <f t="shared" si="42"/>
        <v>-60</v>
      </c>
      <c r="AL755" s="8">
        <f t="shared" si="43"/>
        <v>5272</v>
      </c>
      <c r="AM755" s="9"/>
    </row>
    <row r="756" spans="1:39" ht="24.95" customHeight="1">
      <c r="A756" s="17" t="s">
        <v>793</v>
      </c>
      <c r="B756" s="8">
        <v>0</v>
      </c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18"/>
      <c r="N756" s="8"/>
      <c r="O756" s="8"/>
      <c r="P756" s="8"/>
      <c r="Q756" s="8"/>
      <c r="R756" s="8"/>
      <c r="S756" s="8"/>
      <c r="T756" s="8"/>
      <c r="U756" s="18"/>
      <c r="V756" s="18"/>
      <c r="W756" s="18"/>
      <c r="X756" s="18"/>
      <c r="Y756" s="18"/>
      <c r="Z756" s="8"/>
      <c r="AA756" s="18"/>
      <c r="AB756" s="18"/>
      <c r="AC756" s="8"/>
      <c r="AD756" s="18"/>
      <c r="AE756" s="18"/>
      <c r="AF756" s="8"/>
      <c r="AG756" s="18"/>
      <c r="AH756" s="8"/>
      <c r="AI756" s="8"/>
      <c r="AJ756" s="8"/>
      <c r="AK756" s="8">
        <f t="shared" si="42"/>
        <v>0</v>
      </c>
      <c r="AL756" s="8">
        <f t="shared" si="43"/>
        <v>0</v>
      </c>
      <c r="AM756" s="9"/>
    </row>
    <row r="757" spans="1:39" ht="24.95" customHeight="1">
      <c r="A757" s="17" t="s">
        <v>794</v>
      </c>
      <c r="B757" s="8">
        <v>0</v>
      </c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18"/>
      <c r="N757" s="8"/>
      <c r="O757" s="8"/>
      <c r="P757" s="8"/>
      <c r="Q757" s="8"/>
      <c r="R757" s="8"/>
      <c r="S757" s="8"/>
      <c r="T757" s="8"/>
      <c r="U757" s="18"/>
      <c r="V757" s="18"/>
      <c r="W757" s="18"/>
      <c r="X757" s="18"/>
      <c r="Y757" s="18"/>
      <c r="Z757" s="8"/>
      <c r="AA757" s="18"/>
      <c r="AB757" s="18"/>
      <c r="AC757" s="8"/>
      <c r="AD757" s="18"/>
      <c r="AE757" s="18"/>
      <c r="AF757" s="8"/>
      <c r="AG757" s="18"/>
      <c r="AH757" s="8"/>
      <c r="AI757" s="8"/>
      <c r="AJ757" s="8"/>
      <c r="AK757" s="8">
        <f t="shared" si="42"/>
        <v>0</v>
      </c>
      <c r="AL757" s="8">
        <f t="shared" si="43"/>
        <v>0</v>
      </c>
      <c r="AM757" s="9"/>
    </row>
    <row r="758" spans="1:39" ht="24.95" customHeight="1">
      <c r="A758" s="17" t="s">
        <v>795</v>
      </c>
      <c r="B758" s="8">
        <v>0</v>
      </c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18"/>
      <c r="N758" s="8"/>
      <c r="O758" s="8"/>
      <c r="P758" s="8"/>
      <c r="Q758" s="8"/>
      <c r="R758" s="8"/>
      <c r="S758" s="8"/>
      <c r="T758" s="8"/>
      <c r="U758" s="18"/>
      <c r="V758" s="18"/>
      <c r="W758" s="18"/>
      <c r="X758" s="18"/>
      <c r="Y758" s="18"/>
      <c r="Z758" s="8"/>
      <c r="AA758" s="18"/>
      <c r="AB758" s="18"/>
      <c r="AC758" s="8"/>
      <c r="AD758" s="18"/>
      <c r="AE758" s="18"/>
      <c r="AF758" s="8"/>
      <c r="AG758" s="18"/>
      <c r="AH758" s="8"/>
      <c r="AI758" s="8"/>
      <c r="AJ758" s="8"/>
      <c r="AK758" s="8">
        <f t="shared" si="42"/>
        <v>0</v>
      </c>
      <c r="AL758" s="8">
        <f t="shared" si="43"/>
        <v>0</v>
      </c>
      <c r="AM758" s="9"/>
    </row>
    <row r="759" spans="1:39" ht="24.95" customHeight="1">
      <c r="A759" s="17" t="s">
        <v>796</v>
      </c>
      <c r="B759" s="8">
        <v>1307</v>
      </c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18"/>
      <c r="N759" s="8"/>
      <c r="O759" s="8"/>
      <c r="P759" s="8"/>
      <c r="Q759" s="8"/>
      <c r="R759" s="8"/>
      <c r="S759" s="8"/>
      <c r="T759" s="8"/>
      <c r="U759" s="18"/>
      <c r="V759" s="18"/>
      <c r="W759" s="18"/>
      <c r="X759" s="18"/>
      <c r="Y759" s="18"/>
      <c r="Z759" s="8"/>
      <c r="AA759" s="18">
        <f>+Z760*2+Z761*3</f>
        <v>0</v>
      </c>
      <c r="AB759" s="18"/>
      <c r="AC759" s="8"/>
      <c r="AD759" s="18"/>
      <c r="AE759" s="18"/>
      <c r="AF759" s="8"/>
      <c r="AG759" s="18"/>
      <c r="AH759" s="8"/>
      <c r="AI759" s="8"/>
      <c r="AJ759" s="8">
        <v>2</v>
      </c>
      <c r="AK759" s="8">
        <f t="shared" si="42"/>
        <v>-2</v>
      </c>
      <c r="AL759" s="8">
        <f t="shared" si="43"/>
        <v>1305</v>
      </c>
      <c r="AM759" s="9"/>
    </row>
    <row r="760" spans="1:39" ht="24.95" customHeight="1">
      <c r="A760" s="17" t="s">
        <v>797</v>
      </c>
      <c r="B760" s="8">
        <v>710</v>
      </c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18"/>
      <c r="N760" s="8"/>
      <c r="O760" s="8"/>
      <c r="P760" s="8"/>
      <c r="Q760" s="8"/>
      <c r="R760" s="8"/>
      <c r="S760" s="8"/>
      <c r="T760" s="8"/>
      <c r="U760" s="18"/>
      <c r="V760" s="18"/>
      <c r="W760" s="18"/>
      <c r="X760" s="18"/>
      <c r="Y760" s="18"/>
      <c r="Z760" s="8"/>
      <c r="AA760" s="18"/>
      <c r="AB760" s="18"/>
      <c r="AC760" s="8"/>
      <c r="AD760" s="18"/>
      <c r="AE760" s="18"/>
      <c r="AF760" s="8"/>
      <c r="AG760" s="18"/>
      <c r="AH760" s="8"/>
      <c r="AI760" s="8"/>
      <c r="AJ760" s="8"/>
      <c r="AK760" s="8">
        <f t="shared" si="42"/>
        <v>0</v>
      </c>
      <c r="AL760" s="8">
        <f t="shared" si="43"/>
        <v>710</v>
      </c>
      <c r="AM760" s="9"/>
    </row>
    <row r="761" spans="1:39" ht="24.95" customHeight="1">
      <c r="A761" s="17" t="s">
        <v>798</v>
      </c>
      <c r="B761" s="8">
        <v>445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18"/>
      <c r="N761" s="8"/>
      <c r="O761" s="8"/>
      <c r="P761" s="8"/>
      <c r="Q761" s="8"/>
      <c r="R761" s="8"/>
      <c r="S761" s="8"/>
      <c r="T761" s="8"/>
      <c r="U761" s="18"/>
      <c r="V761" s="18"/>
      <c r="W761" s="18"/>
      <c r="X761" s="18"/>
      <c r="Y761" s="18"/>
      <c r="Z761" s="8"/>
      <c r="AA761" s="18"/>
      <c r="AB761" s="18"/>
      <c r="AC761" s="8"/>
      <c r="AD761" s="18"/>
      <c r="AE761" s="18"/>
      <c r="AF761" s="8"/>
      <c r="AG761" s="18"/>
      <c r="AH761" s="8"/>
      <c r="AI761" s="8"/>
      <c r="AJ761" s="8"/>
      <c r="AK761" s="8">
        <f t="shared" si="42"/>
        <v>0</v>
      </c>
      <c r="AL761" s="8">
        <f t="shared" si="43"/>
        <v>445</v>
      </c>
      <c r="AM761" s="9"/>
    </row>
    <row r="762" spans="1:39" ht="24.95" customHeight="1">
      <c r="A762" s="17" t="s">
        <v>799</v>
      </c>
      <c r="B762" s="8">
        <v>2016</v>
      </c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18"/>
      <c r="N762" s="8"/>
      <c r="O762" s="8"/>
      <c r="P762" s="8"/>
      <c r="Q762" s="8"/>
      <c r="R762" s="8"/>
      <c r="S762" s="8"/>
      <c r="T762" s="8"/>
      <c r="U762" s="18"/>
      <c r="V762" s="18"/>
      <c r="W762" s="18"/>
      <c r="X762" s="18"/>
      <c r="Y762" s="18"/>
      <c r="Z762" s="8"/>
      <c r="AA762" s="18">
        <f>+Z763*2+Z764*3+Z765*4</f>
        <v>0</v>
      </c>
      <c r="AB762" s="18"/>
      <c r="AC762" s="8"/>
      <c r="AD762" s="18"/>
      <c r="AE762" s="18"/>
      <c r="AF762" s="8"/>
      <c r="AG762" s="18"/>
      <c r="AH762" s="8"/>
      <c r="AI762" s="8"/>
      <c r="AJ762" s="8">
        <v>1</v>
      </c>
      <c r="AK762" s="8">
        <f t="shared" si="42"/>
        <v>-1</v>
      </c>
      <c r="AL762" s="8">
        <f t="shared" si="43"/>
        <v>2015</v>
      </c>
      <c r="AM762" s="9"/>
    </row>
    <row r="763" spans="1:39" ht="24.95" customHeight="1">
      <c r="A763" s="17" t="s">
        <v>800</v>
      </c>
      <c r="B763" s="8">
        <v>147</v>
      </c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18"/>
      <c r="N763" s="8"/>
      <c r="O763" s="8"/>
      <c r="P763" s="8"/>
      <c r="Q763" s="8"/>
      <c r="R763" s="8"/>
      <c r="S763" s="8"/>
      <c r="T763" s="8"/>
      <c r="U763" s="18"/>
      <c r="V763" s="18"/>
      <c r="W763" s="18"/>
      <c r="X763" s="18"/>
      <c r="Y763" s="18"/>
      <c r="Z763" s="8"/>
      <c r="AA763" s="18"/>
      <c r="AB763" s="18"/>
      <c r="AC763" s="8"/>
      <c r="AD763" s="18"/>
      <c r="AE763" s="18"/>
      <c r="AF763" s="8"/>
      <c r="AG763" s="18"/>
      <c r="AH763" s="8"/>
      <c r="AI763" s="8"/>
      <c r="AJ763" s="8"/>
      <c r="AK763" s="8">
        <f t="shared" si="42"/>
        <v>0</v>
      </c>
      <c r="AL763" s="8">
        <f t="shared" si="43"/>
        <v>147</v>
      </c>
      <c r="AM763" s="9"/>
    </row>
    <row r="764" spans="1:39" ht="24.95" customHeight="1">
      <c r="A764" s="17" t="s">
        <v>801</v>
      </c>
      <c r="B764" s="8">
        <v>0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18"/>
      <c r="N764" s="8"/>
      <c r="O764" s="8"/>
      <c r="P764" s="8"/>
      <c r="Q764" s="8"/>
      <c r="R764" s="8"/>
      <c r="S764" s="8"/>
      <c r="T764" s="8"/>
      <c r="U764" s="18"/>
      <c r="V764" s="18"/>
      <c r="W764" s="18"/>
      <c r="X764" s="18"/>
      <c r="Y764" s="18"/>
      <c r="Z764" s="8"/>
      <c r="AA764" s="18"/>
      <c r="AB764" s="18"/>
      <c r="AC764" s="8"/>
      <c r="AD764" s="18"/>
      <c r="AE764" s="18"/>
      <c r="AF764" s="8"/>
      <c r="AG764" s="18"/>
      <c r="AH764" s="8"/>
      <c r="AI764" s="8"/>
      <c r="AJ764" s="8"/>
      <c r="AK764" s="8">
        <f t="shared" si="42"/>
        <v>0</v>
      </c>
      <c r="AL764" s="8">
        <f t="shared" si="43"/>
        <v>0</v>
      </c>
      <c r="AM764" s="9"/>
    </row>
    <row r="765" spans="1:39" ht="24.95" customHeight="1">
      <c r="A765" s="17" t="s">
        <v>802</v>
      </c>
      <c r="B765" s="8">
        <v>0</v>
      </c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18"/>
      <c r="N765" s="8"/>
      <c r="O765" s="8"/>
      <c r="P765" s="8"/>
      <c r="Q765" s="8"/>
      <c r="R765" s="8"/>
      <c r="S765" s="8"/>
      <c r="T765" s="8"/>
      <c r="U765" s="18"/>
      <c r="V765" s="18"/>
      <c r="W765" s="18"/>
      <c r="X765" s="18"/>
      <c r="Y765" s="18"/>
      <c r="Z765" s="8"/>
      <c r="AA765" s="18"/>
      <c r="AB765" s="18"/>
      <c r="AC765" s="8"/>
      <c r="AD765" s="18"/>
      <c r="AE765" s="18"/>
      <c r="AF765" s="8"/>
      <c r="AG765" s="18"/>
      <c r="AH765" s="8"/>
      <c r="AI765" s="8"/>
      <c r="AJ765" s="8"/>
      <c r="AK765" s="8">
        <f t="shared" si="42"/>
        <v>0</v>
      </c>
      <c r="AL765" s="8">
        <f t="shared" si="43"/>
        <v>0</v>
      </c>
      <c r="AM765" s="9"/>
    </row>
    <row r="766" spans="1:39" ht="24.95" customHeight="1">
      <c r="A766" s="17" t="s">
        <v>803</v>
      </c>
      <c r="B766" s="8">
        <v>5417</v>
      </c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18"/>
      <c r="N766" s="8"/>
      <c r="O766" s="8"/>
      <c r="P766" s="8"/>
      <c r="Q766" s="8"/>
      <c r="R766" s="8"/>
      <c r="S766" s="8"/>
      <c r="T766" s="8"/>
      <c r="U766" s="18"/>
      <c r="V766" s="18"/>
      <c r="W766" s="18"/>
      <c r="X766" s="18"/>
      <c r="Y766" s="18"/>
      <c r="Z766" s="8"/>
      <c r="AA766" s="18"/>
      <c r="AB766" s="18"/>
      <c r="AC766" s="8"/>
      <c r="AD766" s="18"/>
      <c r="AE766" s="18"/>
      <c r="AF766" s="8"/>
      <c r="AG766" s="18"/>
      <c r="AH766" s="8"/>
      <c r="AI766" s="8"/>
      <c r="AJ766" s="8">
        <v>3</v>
      </c>
      <c r="AK766" s="8">
        <f t="shared" si="42"/>
        <v>-3</v>
      </c>
      <c r="AL766" s="8">
        <f t="shared" si="43"/>
        <v>5414</v>
      </c>
      <c r="AM766" s="9"/>
    </row>
    <row r="767" spans="1:39" ht="24.95" customHeight="1">
      <c r="A767" s="20" t="s">
        <v>804</v>
      </c>
      <c r="B767" s="8">
        <v>3945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>
        <v>12</v>
      </c>
      <c r="S767" s="8"/>
      <c r="T767" s="8"/>
      <c r="U767" s="8"/>
      <c r="V767" s="8"/>
      <c r="W767" s="8"/>
      <c r="X767" s="8"/>
      <c r="Y767" s="8"/>
      <c r="Z767" s="8"/>
      <c r="AA767" s="8">
        <f>Z768*2+Z769*3+Z770*4</f>
        <v>2</v>
      </c>
      <c r="AB767" s="8"/>
      <c r="AC767" s="8"/>
      <c r="AD767" s="8"/>
      <c r="AE767" s="8"/>
      <c r="AF767" s="8"/>
      <c r="AG767" s="8"/>
      <c r="AH767" s="8"/>
      <c r="AI767" s="8"/>
      <c r="AJ767" s="8">
        <v>95</v>
      </c>
      <c r="AK767" s="8">
        <f t="shared" si="42"/>
        <v>-109</v>
      </c>
      <c r="AL767" s="8">
        <f t="shared" si="43"/>
        <v>3836</v>
      </c>
      <c r="AM767" s="9"/>
    </row>
    <row r="768" spans="1:39" ht="24.95" customHeight="1">
      <c r="A768" s="20" t="s">
        <v>805</v>
      </c>
      <c r="B768" s="8">
        <v>0</v>
      </c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>
        <v>1</v>
      </c>
      <c r="S768" s="8"/>
      <c r="T768" s="8"/>
      <c r="U768" s="8"/>
      <c r="V768" s="8"/>
      <c r="W768" s="8"/>
      <c r="X768" s="8"/>
      <c r="Y768" s="8"/>
      <c r="Z768" s="8">
        <v>1</v>
      </c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>
        <f t="shared" si="42"/>
        <v>0</v>
      </c>
      <c r="AL768" s="8">
        <f t="shared" si="43"/>
        <v>0</v>
      </c>
      <c r="AM768" s="9"/>
    </row>
    <row r="769" spans="1:39" ht="24.95" customHeight="1">
      <c r="A769" s="20" t="s">
        <v>806</v>
      </c>
      <c r="B769" s="8">
        <v>0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>
        <f t="shared" si="42"/>
        <v>0</v>
      </c>
      <c r="AL769" s="8">
        <f t="shared" si="43"/>
        <v>0</v>
      </c>
      <c r="AM769" s="9"/>
    </row>
    <row r="770" spans="1:39" ht="24.95" customHeight="1">
      <c r="A770" s="20" t="s">
        <v>807</v>
      </c>
      <c r="B770" s="8">
        <v>0</v>
      </c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>
        <f t="shared" si="42"/>
        <v>0</v>
      </c>
      <c r="AL770" s="8">
        <f t="shared" si="43"/>
        <v>0</v>
      </c>
      <c r="AM770" s="9"/>
    </row>
    <row r="771" spans="1:39" ht="24.95" customHeight="1">
      <c r="A771" s="20" t="s">
        <v>808</v>
      </c>
      <c r="B771" s="8">
        <v>3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>
        <f t="shared" si="42"/>
        <v>0</v>
      </c>
      <c r="AL771" s="8">
        <f t="shared" si="43"/>
        <v>3</v>
      </c>
      <c r="AM771" s="9"/>
    </row>
    <row r="772" spans="1:39" ht="24.95" customHeight="1">
      <c r="A772" s="20" t="s">
        <v>809</v>
      </c>
      <c r="B772" s="8">
        <v>1895</v>
      </c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>
        <f>+Z773*2</f>
        <v>0</v>
      </c>
      <c r="AB772" s="8"/>
      <c r="AC772" s="8"/>
      <c r="AD772" s="8"/>
      <c r="AE772" s="8"/>
      <c r="AF772" s="8"/>
      <c r="AG772" s="8"/>
      <c r="AH772" s="8"/>
      <c r="AI772" s="8"/>
      <c r="AJ772" s="8">
        <v>6</v>
      </c>
      <c r="AK772" s="8">
        <f t="shared" si="42"/>
        <v>-6</v>
      </c>
      <c r="AL772" s="8">
        <f t="shared" si="43"/>
        <v>1889</v>
      </c>
      <c r="AM772" s="9"/>
    </row>
    <row r="773" spans="1:39" ht="24.95" customHeight="1">
      <c r="A773" s="20" t="s">
        <v>810</v>
      </c>
      <c r="B773" s="8">
        <v>150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>
        <f t="shared" si="42"/>
        <v>0</v>
      </c>
      <c r="AL773" s="8">
        <f t="shared" si="43"/>
        <v>150</v>
      </c>
      <c r="AM773" s="9"/>
    </row>
    <row r="774" spans="1:39" ht="24" customHeight="1">
      <c r="A774" s="20" t="s">
        <v>811</v>
      </c>
      <c r="B774" s="8">
        <v>1</v>
      </c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>
        <f>+Y775*2</f>
        <v>2</v>
      </c>
      <c r="Y774" s="8"/>
      <c r="Z774" s="8"/>
      <c r="AA774" s="8">
        <f>+Z775*2</f>
        <v>0</v>
      </c>
      <c r="AB774" s="8"/>
      <c r="AC774" s="8"/>
      <c r="AD774" s="8"/>
      <c r="AE774" s="8"/>
      <c r="AF774" s="8"/>
      <c r="AG774" s="8"/>
      <c r="AH774" s="8"/>
      <c r="AI774" s="8"/>
      <c r="AJ774" s="8">
        <v>2</v>
      </c>
      <c r="AK774" s="8">
        <f t="shared" si="42"/>
        <v>0</v>
      </c>
      <c r="AL774" s="8">
        <f t="shared" si="43"/>
        <v>1</v>
      </c>
      <c r="AM774" s="9"/>
    </row>
    <row r="775" spans="1:39" ht="24.95" customHeight="1">
      <c r="A775" s="20" t="s">
        <v>812</v>
      </c>
      <c r="B775" s="8">
        <v>88</v>
      </c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>
        <v>1</v>
      </c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>
        <f t="shared" si="42"/>
        <v>-1</v>
      </c>
      <c r="AL775" s="8">
        <f t="shared" si="43"/>
        <v>87</v>
      </c>
      <c r="AM775" s="9"/>
    </row>
    <row r="776" spans="1:39" ht="24.95" customHeight="1">
      <c r="A776" s="20" t="s">
        <v>813</v>
      </c>
      <c r="B776" s="8">
        <v>1</v>
      </c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>
        <f>+Y777*2</f>
        <v>0</v>
      </c>
      <c r="Y776" s="8"/>
      <c r="Z776" s="8"/>
      <c r="AA776" s="8">
        <f>+Z777*2</f>
        <v>0</v>
      </c>
      <c r="AB776" s="8"/>
      <c r="AC776" s="8"/>
      <c r="AD776" s="8"/>
      <c r="AE776" s="8"/>
      <c r="AF776" s="8"/>
      <c r="AG776" s="8"/>
      <c r="AH776" s="8"/>
      <c r="AI776" s="8"/>
      <c r="AJ776" s="8"/>
      <c r="AK776" s="8">
        <f t="shared" si="42"/>
        <v>0</v>
      </c>
      <c r="AL776" s="8">
        <f t="shared" si="43"/>
        <v>1</v>
      </c>
      <c r="AM776" s="9"/>
    </row>
    <row r="777" spans="1:39" ht="24.95" customHeight="1">
      <c r="A777" s="20" t="s">
        <v>814</v>
      </c>
      <c r="B777" s="8">
        <v>2</v>
      </c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>
        <f t="shared" si="42"/>
        <v>0</v>
      </c>
      <c r="AL777" s="8">
        <f t="shared" si="43"/>
        <v>2</v>
      </c>
      <c r="AM777" s="9"/>
    </row>
    <row r="778" spans="1:39" ht="24.95" customHeight="1">
      <c r="A778" s="20" t="s">
        <v>815</v>
      </c>
      <c r="B778" s="8">
        <v>1453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>
        <f>+Z779*2</f>
        <v>0</v>
      </c>
      <c r="AB778" s="8"/>
      <c r="AC778" s="8"/>
      <c r="AD778" s="8"/>
      <c r="AE778" s="8"/>
      <c r="AF778" s="8"/>
      <c r="AG778" s="8"/>
      <c r="AH778" s="8"/>
      <c r="AI778" s="8"/>
      <c r="AJ778" s="8"/>
      <c r="AK778" s="8">
        <f t="shared" si="42"/>
        <v>0</v>
      </c>
      <c r="AL778" s="8">
        <f t="shared" si="43"/>
        <v>1453</v>
      </c>
      <c r="AM778" s="9"/>
    </row>
    <row r="779" spans="1:39" ht="24.95" customHeight="1">
      <c r="A779" s="20" t="s">
        <v>816</v>
      </c>
      <c r="B779" s="8">
        <v>0</v>
      </c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>
        <f t="shared" si="42"/>
        <v>0</v>
      </c>
      <c r="AL779" s="8">
        <f t="shared" si="43"/>
        <v>0</v>
      </c>
      <c r="AM779" s="9"/>
    </row>
    <row r="780" spans="1:39" ht="24.95" customHeight="1">
      <c r="A780" s="20" t="s">
        <v>817</v>
      </c>
      <c r="B780" s="8">
        <v>7923</v>
      </c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>
        <f>Y781*2</f>
        <v>0</v>
      </c>
      <c r="Y780" s="8"/>
      <c r="Z780" s="8"/>
      <c r="AA780" s="8">
        <f>+Z781*2+Z782*3</f>
        <v>0</v>
      </c>
      <c r="AB780" s="8"/>
      <c r="AC780" s="8"/>
      <c r="AD780" s="8"/>
      <c r="AE780" s="8"/>
      <c r="AF780" s="8"/>
      <c r="AG780" s="8"/>
      <c r="AH780" s="8"/>
      <c r="AI780" s="8"/>
      <c r="AJ780" s="8">
        <v>1</v>
      </c>
      <c r="AK780" s="8">
        <f t="shared" si="42"/>
        <v>-1</v>
      </c>
      <c r="AL780" s="8">
        <f t="shared" si="43"/>
        <v>7922</v>
      </c>
      <c r="AM780" s="9"/>
    </row>
    <row r="781" spans="1:39" ht="24.95" customHeight="1">
      <c r="A781" s="20" t="s">
        <v>818</v>
      </c>
      <c r="B781" s="8">
        <v>1131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>
        <v>5</v>
      </c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>
        <f t="shared" si="42"/>
        <v>-5</v>
      </c>
      <c r="AL781" s="8">
        <f t="shared" si="43"/>
        <v>1126</v>
      </c>
      <c r="AM781" s="9"/>
    </row>
    <row r="782" spans="1:39" ht="24.95" customHeight="1">
      <c r="A782" s="20" t="s">
        <v>819</v>
      </c>
      <c r="B782" s="8">
        <v>0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>
        <f t="shared" si="42"/>
        <v>0</v>
      </c>
      <c r="AL782" s="8">
        <f t="shared" si="43"/>
        <v>0</v>
      </c>
      <c r="AM782" s="9"/>
    </row>
    <row r="783" spans="1:39" ht="24.95" customHeight="1">
      <c r="A783" s="20" t="s">
        <v>820</v>
      </c>
      <c r="B783" s="8">
        <v>104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>
        <f>+Z784*2</f>
        <v>0</v>
      </c>
      <c r="AB783" s="8"/>
      <c r="AC783" s="8"/>
      <c r="AD783" s="8"/>
      <c r="AE783" s="8"/>
      <c r="AF783" s="8"/>
      <c r="AG783" s="8"/>
      <c r="AH783" s="8"/>
      <c r="AI783" s="8"/>
      <c r="AJ783" s="8"/>
      <c r="AK783" s="8">
        <f t="shared" si="42"/>
        <v>0</v>
      </c>
      <c r="AL783" s="8">
        <f t="shared" si="43"/>
        <v>104</v>
      </c>
      <c r="AM783" s="9"/>
    </row>
    <row r="784" spans="1:39" ht="24.95" customHeight="1">
      <c r="A784" s="20" t="s">
        <v>821</v>
      </c>
      <c r="B784" s="8">
        <v>0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>
        <f t="shared" si="42"/>
        <v>0</v>
      </c>
      <c r="AL784" s="8">
        <f t="shared" si="43"/>
        <v>0</v>
      </c>
      <c r="AM784" s="9"/>
    </row>
    <row r="785" spans="1:39" ht="24.95" customHeight="1">
      <c r="A785" s="20" t="s">
        <v>822</v>
      </c>
      <c r="B785" s="8">
        <v>4404</v>
      </c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>
        <f>+Z786*2+Z787*3</f>
        <v>0</v>
      </c>
      <c r="AB785" s="8"/>
      <c r="AC785" s="8"/>
      <c r="AD785" s="8"/>
      <c r="AE785" s="8"/>
      <c r="AF785" s="8"/>
      <c r="AG785" s="8"/>
      <c r="AH785" s="8"/>
      <c r="AI785" s="8"/>
      <c r="AJ785" s="8">
        <v>7</v>
      </c>
      <c r="AK785" s="8">
        <f t="shared" si="42"/>
        <v>-7</v>
      </c>
      <c r="AL785" s="8">
        <f t="shared" si="43"/>
        <v>4397</v>
      </c>
      <c r="AM785" s="9"/>
    </row>
    <row r="786" spans="1:39" ht="24.95" customHeight="1">
      <c r="A786" s="20" t="s">
        <v>823</v>
      </c>
      <c r="B786" s="8">
        <v>631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>
        <f t="shared" si="42"/>
        <v>0</v>
      </c>
      <c r="AL786" s="8">
        <f t="shared" si="43"/>
        <v>631</v>
      </c>
      <c r="AM786" s="9"/>
    </row>
    <row r="787" spans="1:39" ht="24.95" customHeight="1">
      <c r="A787" s="20" t="s">
        <v>824</v>
      </c>
      <c r="B787" s="8">
        <v>181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>
        <f t="shared" si="42"/>
        <v>0</v>
      </c>
      <c r="AL787" s="8">
        <f t="shared" si="43"/>
        <v>181</v>
      </c>
      <c r="AM787" s="9"/>
    </row>
    <row r="788" spans="1:39" ht="24.95" customHeight="1">
      <c r="A788" s="20" t="s">
        <v>825</v>
      </c>
      <c r="B788" s="8">
        <v>1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>
        <f>+Y789*2</f>
        <v>0</v>
      </c>
      <c r="Y788" s="8"/>
      <c r="Z788" s="8"/>
      <c r="AA788" s="8">
        <f>+Z789*2</f>
        <v>0</v>
      </c>
      <c r="AB788" s="8"/>
      <c r="AC788" s="8"/>
      <c r="AD788" s="8"/>
      <c r="AE788" s="8"/>
      <c r="AF788" s="8"/>
      <c r="AG788" s="8"/>
      <c r="AH788" s="8"/>
      <c r="AI788" s="8"/>
      <c r="AJ788" s="8"/>
      <c r="AK788" s="8">
        <f t="shared" si="42"/>
        <v>0</v>
      </c>
      <c r="AL788" s="8">
        <f t="shared" si="43"/>
        <v>1</v>
      </c>
      <c r="AM788" s="9"/>
    </row>
    <row r="789" spans="1:39" ht="24.95" customHeight="1">
      <c r="A789" s="20" t="s">
        <v>826</v>
      </c>
      <c r="B789" s="8">
        <v>2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>
        <f t="shared" si="42"/>
        <v>0</v>
      </c>
      <c r="AL789" s="8">
        <f t="shared" si="43"/>
        <v>2</v>
      </c>
      <c r="AM789" s="9"/>
    </row>
    <row r="790" spans="1:39" ht="24.95" customHeight="1">
      <c r="A790" s="20" t="s">
        <v>827</v>
      </c>
      <c r="B790" s="8">
        <v>0</v>
      </c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>
        <f>+Y791*2</f>
        <v>4</v>
      </c>
      <c r="Y790" s="8"/>
      <c r="Z790" s="8"/>
      <c r="AA790" s="8">
        <f>+Z791*2</f>
        <v>0</v>
      </c>
      <c r="AB790" s="8"/>
      <c r="AC790" s="8"/>
      <c r="AD790" s="8"/>
      <c r="AE790" s="8"/>
      <c r="AF790" s="8"/>
      <c r="AG790" s="8"/>
      <c r="AH790" s="8"/>
      <c r="AI790" s="8"/>
      <c r="AJ790" s="8">
        <v>3</v>
      </c>
      <c r="AK790" s="8">
        <f t="shared" si="42"/>
        <v>1</v>
      </c>
      <c r="AL790" s="8">
        <f t="shared" si="43"/>
        <v>1</v>
      </c>
      <c r="AM790" s="9"/>
    </row>
    <row r="791" spans="1:39" ht="24.95" customHeight="1">
      <c r="A791" s="20" t="s">
        <v>828</v>
      </c>
      <c r="B791" s="8">
        <v>96</v>
      </c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>
        <v>2</v>
      </c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>
        <f t="shared" si="42"/>
        <v>-2</v>
      </c>
      <c r="AL791" s="8">
        <f t="shared" si="43"/>
        <v>94</v>
      </c>
      <c r="AM791" s="9"/>
    </row>
    <row r="792" spans="1:39" ht="24.95" customHeight="1">
      <c r="A792" s="20" t="s">
        <v>829</v>
      </c>
      <c r="B792" s="8">
        <v>2577</v>
      </c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>
        <v>4</v>
      </c>
      <c r="S792" s="8"/>
      <c r="T792" s="8"/>
      <c r="U792" s="8"/>
      <c r="V792" s="8"/>
      <c r="W792" s="8"/>
      <c r="X792" s="8"/>
      <c r="Y792" s="8"/>
      <c r="Z792" s="8"/>
      <c r="AA792" s="8">
        <f>+Z793*2+Z794*3+Z795*4</f>
        <v>0</v>
      </c>
      <c r="AB792" s="8"/>
      <c r="AC792" s="8"/>
      <c r="AD792" s="8"/>
      <c r="AE792" s="8"/>
      <c r="AF792" s="8"/>
      <c r="AG792" s="8"/>
      <c r="AH792" s="8"/>
      <c r="AI792" s="8"/>
      <c r="AJ792" s="8"/>
      <c r="AK792" s="8">
        <f t="shared" si="42"/>
        <v>-4</v>
      </c>
      <c r="AL792" s="8">
        <f t="shared" si="43"/>
        <v>2573</v>
      </c>
      <c r="AM792" s="9"/>
    </row>
    <row r="793" spans="1:39" ht="24.95" customHeight="1">
      <c r="A793" s="20" t="s">
        <v>830</v>
      </c>
      <c r="B793" s="8">
        <v>68</v>
      </c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>
        <f t="shared" si="42"/>
        <v>0</v>
      </c>
      <c r="AL793" s="8">
        <f t="shared" si="43"/>
        <v>68</v>
      </c>
      <c r="AM793" s="9"/>
    </row>
    <row r="794" spans="1:39" ht="24.95" customHeight="1">
      <c r="A794" s="20" t="s">
        <v>831</v>
      </c>
      <c r="B794" s="8">
        <v>0</v>
      </c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>
        <f t="shared" si="42"/>
        <v>0</v>
      </c>
      <c r="AL794" s="8">
        <f t="shared" si="43"/>
        <v>0</v>
      </c>
      <c r="AM794" s="9"/>
    </row>
    <row r="795" spans="1:39" ht="24.95" customHeight="1">
      <c r="A795" s="20" t="s">
        <v>832</v>
      </c>
      <c r="B795" s="8">
        <v>0</v>
      </c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>
        <f t="shared" ref="AK795:AK862" si="45">SUM((D795+P795+G795+L795+S795+X795+Z795+AD795+M795+J795+V795+AB795+F795+AG795+O795+AI795)+(-N795-E795-R795-Q795-T795-Y795-AA795-AE795-AJ795-K795-I795-H795-U795-AC795-AF795-AH795-W795))</f>
        <v>0</v>
      </c>
      <c r="AL795" s="8">
        <f t="shared" ref="AL795:AL862" si="46">B795+AK795</f>
        <v>0</v>
      </c>
      <c r="AM795" s="9"/>
    </row>
    <row r="796" spans="1:39" ht="24.95" customHeight="1">
      <c r="A796" s="20" t="s">
        <v>833</v>
      </c>
      <c r="B796" s="8">
        <v>194</v>
      </c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>
        <f t="shared" si="45"/>
        <v>0</v>
      </c>
      <c r="AL796" s="8">
        <f t="shared" si="46"/>
        <v>194</v>
      </c>
      <c r="AM796" s="9"/>
    </row>
    <row r="797" spans="1:39" ht="24.95" customHeight="1">
      <c r="A797" s="20" t="s">
        <v>834</v>
      </c>
      <c r="B797" s="8">
        <v>23</v>
      </c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>
        <f>+Z798*2</f>
        <v>0</v>
      </c>
      <c r="AB797" s="8"/>
      <c r="AC797" s="8"/>
      <c r="AD797" s="8"/>
      <c r="AE797" s="8"/>
      <c r="AF797" s="8"/>
      <c r="AG797" s="8"/>
      <c r="AH797" s="8"/>
      <c r="AI797" s="8"/>
      <c r="AJ797" s="8">
        <v>4</v>
      </c>
      <c r="AK797" s="8">
        <f t="shared" si="45"/>
        <v>-4</v>
      </c>
      <c r="AL797" s="8">
        <f t="shared" si="46"/>
        <v>19</v>
      </c>
      <c r="AM797" s="9"/>
    </row>
    <row r="798" spans="1:39" ht="24.95" customHeight="1">
      <c r="A798" s="20" t="s">
        <v>835</v>
      </c>
      <c r="B798" s="8">
        <v>950</v>
      </c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>
        <f t="shared" si="45"/>
        <v>0</v>
      </c>
      <c r="AL798" s="8">
        <f t="shared" si="46"/>
        <v>950</v>
      </c>
      <c r="AM798" s="9"/>
    </row>
    <row r="799" spans="1:39" ht="24.95" customHeight="1">
      <c r="A799" s="20" t="s">
        <v>836</v>
      </c>
      <c r="B799" s="8">
        <v>1020</v>
      </c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>
        <f>+Z800*2+Z801*3+Z802*4</f>
        <v>9</v>
      </c>
      <c r="AB799" s="8"/>
      <c r="AC799" s="8"/>
      <c r="AD799" s="8"/>
      <c r="AE799" s="8"/>
      <c r="AF799" s="8"/>
      <c r="AG799" s="8"/>
      <c r="AH799" s="8"/>
      <c r="AI799" s="8"/>
      <c r="AJ799" s="8">
        <v>1</v>
      </c>
      <c r="AK799" s="8">
        <f t="shared" si="45"/>
        <v>-10</v>
      </c>
      <c r="AL799" s="8">
        <f t="shared" si="46"/>
        <v>1010</v>
      </c>
      <c r="AM799" s="9"/>
    </row>
    <row r="800" spans="1:39" ht="24.95" customHeight="1">
      <c r="A800" s="20" t="s">
        <v>837</v>
      </c>
      <c r="B800" s="8">
        <v>0</v>
      </c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>
        <f t="shared" si="45"/>
        <v>0</v>
      </c>
      <c r="AL800" s="8">
        <f t="shared" si="46"/>
        <v>0</v>
      </c>
      <c r="AM800" s="9"/>
    </row>
    <row r="801" spans="1:39" ht="24.95" customHeight="1">
      <c r="A801" s="20" t="s">
        <v>838</v>
      </c>
      <c r="B801" s="8">
        <v>0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>
        <v>3</v>
      </c>
      <c r="S801" s="8"/>
      <c r="T801" s="8"/>
      <c r="U801" s="8"/>
      <c r="V801" s="8"/>
      <c r="W801" s="8"/>
      <c r="X801" s="8"/>
      <c r="Y801" s="8"/>
      <c r="Z801" s="8">
        <v>3</v>
      </c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>
        <f t="shared" si="45"/>
        <v>0</v>
      </c>
      <c r="AL801" s="8">
        <f t="shared" si="46"/>
        <v>0</v>
      </c>
      <c r="AM801" s="9"/>
    </row>
    <row r="802" spans="1:39" ht="24.95" customHeight="1">
      <c r="A802" s="20" t="s">
        <v>839</v>
      </c>
      <c r="B802" s="8">
        <v>0</v>
      </c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>
        <f t="shared" si="45"/>
        <v>0</v>
      </c>
      <c r="AL802" s="8">
        <f t="shared" si="46"/>
        <v>0</v>
      </c>
      <c r="AM802" s="9"/>
    </row>
    <row r="803" spans="1:39" ht="24.95" customHeight="1">
      <c r="A803" s="20" t="s">
        <v>840</v>
      </c>
      <c r="B803" s="8">
        <v>2690</v>
      </c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>
        <f>+Z804*2+Z805*3</f>
        <v>3</v>
      </c>
      <c r="AB803" s="8"/>
      <c r="AC803" s="8"/>
      <c r="AD803" s="8"/>
      <c r="AE803" s="8"/>
      <c r="AF803" s="8"/>
      <c r="AG803" s="8"/>
      <c r="AH803" s="8"/>
      <c r="AI803" s="8"/>
      <c r="AJ803" s="8">
        <v>8</v>
      </c>
      <c r="AK803" s="8">
        <f t="shared" si="45"/>
        <v>-11</v>
      </c>
      <c r="AL803" s="8">
        <f t="shared" si="46"/>
        <v>2679</v>
      </c>
      <c r="AM803" s="9"/>
    </row>
    <row r="804" spans="1:39" ht="24.95" customHeight="1">
      <c r="A804" s="20" t="s">
        <v>841</v>
      </c>
      <c r="B804" s="8">
        <v>0</v>
      </c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>
        <f t="shared" si="45"/>
        <v>0</v>
      </c>
      <c r="AL804" s="8">
        <f t="shared" si="46"/>
        <v>0</v>
      </c>
      <c r="AM804" s="9"/>
    </row>
    <row r="805" spans="1:39" ht="24.95" customHeight="1">
      <c r="A805" s="20" t="s">
        <v>842</v>
      </c>
      <c r="B805" s="8">
        <v>0</v>
      </c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>
        <v>1</v>
      </c>
      <c r="S805" s="8"/>
      <c r="T805" s="8"/>
      <c r="U805" s="8"/>
      <c r="V805" s="8"/>
      <c r="W805" s="8"/>
      <c r="X805" s="8"/>
      <c r="Y805" s="8"/>
      <c r="Z805" s="8">
        <v>1</v>
      </c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>
        <f t="shared" si="45"/>
        <v>0</v>
      </c>
      <c r="AL805" s="8">
        <f t="shared" si="46"/>
        <v>0</v>
      </c>
      <c r="AM805" s="9"/>
    </row>
    <row r="806" spans="1:39" ht="24.95" customHeight="1">
      <c r="A806" s="20" t="s">
        <v>843</v>
      </c>
      <c r="B806" s="8">
        <v>67</v>
      </c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>
        <f>+Z807*2</f>
        <v>0</v>
      </c>
      <c r="AB806" s="8"/>
      <c r="AC806" s="8"/>
      <c r="AD806" s="8"/>
      <c r="AE806" s="8"/>
      <c r="AF806" s="8"/>
      <c r="AG806" s="8"/>
      <c r="AH806" s="8"/>
      <c r="AI806" s="8"/>
      <c r="AJ806" s="8"/>
      <c r="AK806" s="8">
        <f t="shared" si="45"/>
        <v>0</v>
      </c>
      <c r="AL806" s="8">
        <f t="shared" si="46"/>
        <v>67</v>
      </c>
      <c r="AM806" s="9"/>
    </row>
    <row r="807" spans="1:39" ht="24.95" customHeight="1">
      <c r="A807" s="20" t="s">
        <v>844</v>
      </c>
      <c r="B807" s="8">
        <v>23</v>
      </c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>
        <f t="shared" si="45"/>
        <v>0</v>
      </c>
      <c r="AL807" s="8">
        <f t="shared" si="46"/>
        <v>23</v>
      </c>
      <c r="AM807" s="9"/>
    </row>
    <row r="808" spans="1:39" ht="24.95" customHeight="1">
      <c r="A808" s="20" t="s">
        <v>845</v>
      </c>
      <c r="B808" s="8">
        <v>903</v>
      </c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>
        <f>+Z809*2</f>
        <v>0</v>
      </c>
      <c r="AB808" s="8"/>
      <c r="AC808" s="8"/>
      <c r="AD808" s="8"/>
      <c r="AE808" s="8"/>
      <c r="AF808" s="8"/>
      <c r="AG808" s="8"/>
      <c r="AH808" s="8"/>
      <c r="AI808" s="8"/>
      <c r="AJ808" s="8"/>
      <c r="AK808" s="8">
        <f t="shared" si="45"/>
        <v>0</v>
      </c>
      <c r="AL808" s="8">
        <f t="shared" si="46"/>
        <v>903</v>
      </c>
      <c r="AM808" s="9"/>
    </row>
    <row r="809" spans="1:39" ht="24.95" customHeight="1">
      <c r="A809" s="20" t="s">
        <v>846</v>
      </c>
      <c r="B809" s="8">
        <v>224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>
        <f t="shared" si="45"/>
        <v>0</v>
      </c>
      <c r="AL809" s="8">
        <f t="shared" si="46"/>
        <v>224</v>
      </c>
      <c r="AM809" s="9"/>
    </row>
    <row r="810" spans="1:39" ht="24.95" customHeight="1">
      <c r="A810" s="20" t="s">
        <v>847</v>
      </c>
      <c r="B810" s="8">
        <v>3597</v>
      </c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>
        <f>+Z811*2</f>
        <v>0</v>
      </c>
      <c r="AB810" s="8"/>
      <c r="AC810" s="8"/>
      <c r="AD810" s="8"/>
      <c r="AE810" s="8"/>
      <c r="AF810" s="8"/>
      <c r="AG810" s="8"/>
      <c r="AH810" s="8"/>
      <c r="AI810" s="8"/>
      <c r="AJ810" s="8">
        <v>2</v>
      </c>
      <c r="AK810" s="8">
        <f t="shared" si="45"/>
        <v>-2</v>
      </c>
      <c r="AL810" s="8">
        <f t="shared" si="46"/>
        <v>3595</v>
      </c>
      <c r="AM810" s="9"/>
    </row>
    <row r="811" spans="1:39" ht="24.95" customHeight="1">
      <c r="A811" s="20" t="s">
        <v>848</v>
      </c>
      <c r="B811" s="8">
        <v>21</v>
      </c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>
        <f t="shared" si="45"/>
        <v>0</v>
      </c>
      <c r="AL811" s="8">
        <f t="shared" si="46"/>
        <v>21</v>
      </c>
      <c r="AM811" s="9"/>
    </row>
    <row r="812" spans="1:39" ht="24.95" customHeight="1">
      <c r="A812" s="20" t="s">
        <v>849</v>
      </c>
      <c r="B812" s="8">
        <v>3</v>
      </c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>
        <f t="shared" si="45"/>
        <v>0</v>
      </c>
      <c r="AL812" s="8">
        <f t="shared" si="46"/>
        <v>3</v>
      </c>
      <c r="AM812" s="9"/>
    </row>
    <row r="813" spans="1:39" ht="24.95" customHeight="1">
      <c r="A813" s="20" t="s">
        <v>850</v>
      </c>
      <c r="B813" s="8">
        <v>1</v>
      </c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>
        <f>+Y814*2</f>
        <v>0</v>
      </c>
      <c r="Y813" s="8"/>
      <c r="Z813" s="8"/>
      <c r="AA813" s="8">
        <f>+Z814*2</f>
        <v>0</v>
      </c>
      <c r="AB813" s="8"/>
      <c r="AC813" s="8"/>
      <c r="AD813" s="8"/>
      <c r="AE813" s="8"/>
      <c r="AF813" s="8"/>
      <c r="AG813" s="8"/>
      <c r="AH813" s="8"/>
      <c r="AI813" s="8"/>
      <c r="AJ813" s="8"/>
      <c r="AK813" s="8">
        <f t="shared" si="45"/>
        <v>0</v>
      </c>
      <c r="AL813" s="8">
        <f t="shared" si="46"/>
        <v>1</v>
      </c>
      <c r="AM813" s="9"/>
    </row>
    <row r="814" spans="1:39" ht="24.95" customHeight="1">
      <c r="A814" s="20" t="s">
        <v>851</v>
      </c>
      <c r="B814" s="8">
        <v>1</v>
      </c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>
        <f t="shared" si="45"/>
        <v>0</v>
      </c>
      <c r="AL814" s="8">
        <f t="shared" si="46"/>
        <v>1</v>
      </c>
      <c r="AM814" s="9"/>
    </row>
    <row r="815" spans="1:39" ht="24.95" customHeight="1">
      <c r="A815" s="20" t="s">
        <v>852</v>
      </c>
      <c r="B815" s="8">
        <v>296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>
        <v>16</v>
      </c>
      <c r="S815" s="8"/>
      <c r="T815" s="8"/>
      <c r="U815" s="8"/>
      <c r="V815" s="8"/>
      <c r="W815" s="8"/>
      <c r="X815" s="8"/>
      <c r="Y815" s="8"/>
      <c r="Z815" s="8"/>
      <c r="AA815" s="8">
        <f>+Z816*2+Z817*3+Z818*4</f>
        <v>22</v>
      </c>
      <c r="AB815" s="8"/>
      <c r="AC815" s="8"/>
      <c r="AD815" s="8"/>
      <c r="AE815" s="8"/>
      <c r="AF815" s="8"/>
      <c r="AG815" s="8"/>
      <c r="AH815" s="8"/>
      <c r="AI815" s="8"/>
      <c r="AJ815" s="8"/>
      <c r="AK815" s="8">
        <f t="shared" si="45"/>
        <v>-38</v>
      </c>
      <c r="AL815" s="8">
        <f t="shared" si="46"/>
        <v>258</v>
      </c>
      <c r="AM815" s="9"/>
    </row>
    <row r="816" spans="1:39" ht="24.95" customHeight="1">
      <c r="A816" s="20" t="s">
        <v>853</v>
      </c>
      <c r="B816" s="8">
        <v>0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>
        <v>5</v>
      </c>
      <c r="S816" s="8"/>
      <c r="T816" s="8"/>
      <c r="U816" s="8"/>
      <c r="V816" s="8"/>
      <c r="W816" s="8"/>
      <c r="X816" s="8"/>
      <c r="Y816" s="8"/>
      <c r="Z816" s="8">
        <v>5</v>
      </c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>
        <f t="shared" si="45"/>
        <v>0</v>
      </c>
      <c r="AL816" s="8">
        <f t="shared" si="46"/>
        <v>0</v>
      </c>
      <c r="AM816" s="9"/>
    </row>
    <row r="817" spans="1:39" ht="24.95" customHeight="1">
      <c r="A817" s="20" t="s">
        <v>854</v>
      </c>
      <c r="B817" s="8">
        <v>0</v>
      </c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>
        <v>4</v>
      </c>
      <c r="AA817" s="8"/>
      <c r="AB817" s="8"/>
      <c r="AC817" s="8"/>
      <c r="AD817" s="8"/>
      <c r="AE817" s="8"/>
      <c r="AF817" s="8"/>
      <c r="AG817" s="8"/>
      <c r="AH817" s="8"/>
      <c r="AI817" s="8"/>
      <c r="AJ817" s="8">
        <v>4</v>
      </c>
      <c r="AK817" s="8">
        <f t="shared" si="45"/>
        <v>0</v>
      </c>
      <c r="AL817" s="8">
        <f t="shared" si="46"/>
        <v>0</v>
      </c>
      <c r="AM817" s="9"/>
    </row>
    <row r="818" spans="1:39" ht="24.95" customHeight="1">
      <c r="A818" s="20" t="s">
        <v>855</v>
      </c>
      <c r="B818" s="8">
        <v>0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>
        <f t="shared" si="45"/>
        <v>0</v>
      </c>
      <c r="AL818" s="8">
        <f t="shared" si="46"/>
        <v>0</v>
      </c>
      <c r="AM818" s="9"/>
    </row>
    <row r="819" spans="1:39" ht="24.95" customHeight="1">
      <c r="A819" s="20" t="s">
        <v>856</v>
      </c>
      <c r="B819" s="8">
        <v>4784</v>
      </c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>
        <f>+Z820*2+Z821*2</f>
        <v>0</v>
      </c>
      <c r="AB819" s="8"/>
      <c r="AC819" s="8"/>
      <c r="AD819" s="8"/>
      <c r="AE819" s="8"/>
      <c r="AF819" s="8"/>
      <c r="AG819" s="8"/>
      <c r="AH819" s="8"/>
      <c r="AI819" s="8"/>
      <c r="AJ819" s="8">
        <v>3</v>
      </c>
      <c r="AK819" s="8">
        <f t="shared" si="45"/>
        <v>-3</v>
      </c>
      <c r="AL819" s="8">
        <f t="shared" si="46"/>
        <v>4781</v>
      </c>
      <c r="AM819" s="9"/>
    </row>
    <row r="820" spans="1:39" ht="24.95" customHeight="1">
      <c r="A820" s="20" t="s">
        <v>857</v>
      </c>
      <c r="B820" s="8">
        <v>0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>
        <f t="shared" si="45"/>
        <v>0</v>
      </c>
      <c r="AL820" s="8">
        <f t="shared" si="46"/>
        <v>0</v>
      </c>
      <c r="AM820" s="9"/>
    </row>
    <row r="821" spans="1:39" ht="24.95" customHeight="1">
      <c r="A821" s="20" t="s">
        <v>858</v>
      </c>
      <c r="B821" s="8">
        <v>0</v>
      </c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>
        <f t="shared" si="45"/>
        <v>0</v>
      </c>
      <c r="AL821" s="8">
        <f t="shared" si="46"/>
        <v>0</v>
      </c>
      <c r="AM821" s="9"/>
    </row>
    <row r="822" spans="1:39" ht="24.95" customHeight="1">
      <c r="A822" s="20" t="s">
        <v>859</v>
      </c>
      <c r="B822" s="8">
        <v>2994</v>
      </c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>
        <f>+Z823*2+Z824*3</f>
        <v>0</v>
      </c>
      <c r="AB822" s="8"/>
      <c r="AC822" s="8"/>
      <c r="AD822" s="8"/>
      <c r="AE822" s="8"/>
      <c r="AF822" s="8"/>
      <c r="AG822" s="8"/>
      <c r="AH822" s="8"/>
      <c r="AI822" s="8"/>
      <c r="AJ822" s="8">
        <v>3</v>
      </c>
      <c r="AK822" s="8">
        <f t="shared" si="45"/>
        <v>-3</v>
      </c>
      <c r="AL822" s="8">
        <f t="shared" si="46"/>
        <v>2991</v>
      </c>
      <c r="AM822" s="9"/>
    </row>
    <row r="823" spans="1:39" ht="24.95" customHeight="1">
      <c r="A823" s="20" t="s">
        <v>860</v>
      </c>
      <c r="B823" s="8">
        <v>15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>
        <f t="shared" si="45"/>
        <v>0</v>
      </c>
      <c r="AL823" s="8">
        <f t="shared" si="46"/>
        <v>15</v>
      </c>
      <c r="AM823" s="9"/>
    </row>
    <row r="824" spans="1:39" ht="24.95" customHeight="1">
      <c r="A824" s="20" t="s">
        <v>861</v>
      </c>
      <c r="B824" s="8">
        <v>0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>
        <f t="shared" si="45"/>
        <v>0</v>
      </c>
      <c r="AL824" s="8">
        <f t="shared" si="46"/>
        <v>0</v>
      </c>
      <c r="AM824" s="9"/>
    </row>
    <row r="825" spans="1:39" ht="24.95" customHeight="1">
      <c r="A825" s="20" t="s">
        <v>862</v>
      </c>
      <c r="B825" s="8">
        <v>872</v>
      </c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>
        <f>+Z826*2</f>
        <v>0</v>
      </c>
      <c r="AB825" s="8"/>
      <c r="AC825" s="8"/>
      <c r="AD825" s="8"/>
      <c r="AE825" s="8"/>
      <c r="AF825" s="8"/>
      <c r="AG825" s="8"/>
      <c r="AH825" s="8"/>
      <c r="AI825" s="8"/>
      <c r="AJ825" s="8">
        <v>1</v>
      </c>
      <c r="AK825" s="8">
        <f t="shared" si="45"/>
        <v>-1</v>
      </c>
      <c r="AL825" s="8">
        <f t="shared" si="46"/>
        <v>871</v>
      </c>
      <c r="AM825" s="9"/>
    </row>
    <row r="826" spans="1:39" ht="24.95" customHeight="1">
      <c r="A826" s="20" t="s">
        <v>863</v>
      </c>
      <c r="B826" s="8">
        <v>37</v>
      </c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>
        <f t="shared" si="45"/>
        <v>0</v>
      </c>
      <c r="AL826" s="8">
        <f t="shared" si="46"/>
        <v>37</v>
      </c>
      <c r="AM826" s="9"/>
    </row>
    <row r="827" spans="1:39" ht="24.95" customHeight="1">
      <c r="A827" s="20" t="s">
        <v>864</v>
      </c>
      <c r="B827" s="8">
        <v>53</v>
      </c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>
        <f>+Z828*2+Z829*3</f>
        <v>0</v>
      </c>
      <c r="AB827" s="8"/>
      <c r="AC827" s="8"/>
      <c r="AD827" s="8"/>
      <c r="AE827" s="8"/>
      <c r="AF827" s="8"/>
      <c r="AG827" s="8"/>
      <c r="AH827" s="8"/>
      <c r="AI827" s="8"/>
      <c r="AJ827" s="8">
        <v>1</v>
      </c>
      <c r="AK827" s="8">
        <f t="shared" si="45"/>
        <v>-1</v>
      </c>
      <c r="AL827" s="8">
        <f t="shared" si="46"/>
        <v>52</v>
      </c>
      <c r="AM827" s="9"/>
    </row>
    <row r="828" spans="1:39" ht="24.95" customHeight="1">
      <c r="A828" s="20" t="s">
        <v>865</v>
      </c>
      <c r="B828" s="8">
        <v>615</v>
      </c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>
        <f t="shared" si="45"/>
        <v>0</v>
      </c>
      <c r="AL828" s="8">
        <f t="shared" si="46"/>
        <v>615</v>
      </c>
      <c r="AM828" s="9"/>
    </row>
    <row r="829" spans="1:39" ht="24.95" customHeight="1">
      <c r="A829" s="20" t="s">
        <v>866</v>
      </c>
      <c r="B829" s="8">
        <v>0</v>
      </c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>
        <f t="shared" si="45"/>
        <v>0</v>
      </c>
      <c r="AL829" s="8">
        <f t="shared" si="46"/>
        <v>0</v>
      </c>
      <c r="AM829" s="9"/>
    </row>
    <row r="830" spans="1:39" ht="24.95" customHeight="1">
      <c r="A830" s="20" t="s">
        <v>867</v>
      </c>
      <c r="B830" s="8">
        <v>520</v>
      </c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>
        <f>+Z831*2</f>
        <v>0</v>
      </c>
      <c r="AB830" s="8"/>
      <c r="AC830" s="8"/>
      <c r="AD830" s="8"/>
      <c r="AE830" s="8"/>
      <c r="AF830" s="8"/>
      <c r="AG830" s="8"/>
      <c r="AH830" s="8"/>
      <c r="AI830" s="8"/>
      <c r="AJ830" s="8"/>
      <c r="AK830" s="8">
        <f t="shared" si="45"/>
        <v>0</v>
      </c>
      <c r="AL830" s="8">
        <f t="shared" si="46"/>
        <v>520</v>
      </c>
      <c r="AM830" s="9"/>
    </row>
    <row r="831" spans="1:39" ht="24.95" customHeight="1">
      <c r="A831" s="20" t="s">
        <v>868</v>
      </c>
      <c r="B831" s="8">
        <v>44</v>
      </c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>
        <f t="shared" si="45"/>
        <v>0</v>
      </c>
      <c r="AL831" s="8">
        <f t="shared" si="46"/>
        <v>44</v>
      </c>
      <c r="AM831" s="9"/>
    </row>
    <row r="832" spans="1:39" ht="24.95" customHeight="1">
      <c r="A832" s="7" t="s">
        <v>869</v>
      </c>
      <c r="B832" s="8">
        <v>401</v>
      </c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>
        <v>16</v>
      </c>
      <c r="S832" s="8"/>
      <c r="T832" s="8"/>
      <c r="U832" s="8"/>
      <c r="V832" s="8"/>
      <c r="W832" s="8"/>
      <c r="X832" s="8"/>
      <c r="Y832" s="8"/>
      <c r="Z832" s="8"/>
      <c r="AA832" s="8">
        <f>+Z833*2+Z834*3+Z835*4</f>
        <v>22</v>
      </c>
      <c r="AB832" s="8"/>
      <c r="AC832" s="8"/>
      <c r="AD832" s="8"/>
      <c r="AE832" s="8"/>
      <c r="AF832" s="8"/>
      <c r="AG832" s="8"/>
      <c r="AH832" s="8"/>
      <c r="AI832" s="8"/>
      <c r="AJ832" s="8"/>
      <c r="AK832" s="8">
        <f t="shared" si="45"/>
        <v>-38</v>
      </c>
      <c r="AL832" s="8">
        <f t="shared" si="46"/>
        <v>363</v>
      </c>
      <c r="AM832" s="9"/>
    </row>
    <row r="833" spans="1:39" ht="24.95" customHeight="1">
      <c r="A833" s="7" t="s">
        <v>870</v>
      </c>
      <c r="B833" s="8">
        <v>0</v>
      </c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>
        <v>5</v>
      </c>
      <c r="S833" s="8"/>
      <c r="T833" s="8"/>
      <c r="U833" s="8"/>
      <c r="V833" s="8"/>
      <c r="W833" s="8"/>
      <c r="X833" s="8"/>
      <c r="Y833" s="8"/>
      <c r="Z833" s="8">
        <v>5</v>
      </c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>
        <f t="shared" si="45"/>
        <v>0</v>
      </c>
      <c r="AL833" s="8">
        <f t="shared" si="46"/>
        <v>0</v>
      </c>
      <c r="AM833" s="9"/>
    </row>
    <row r="834" spans="1:39" ht="24.95" customHeight="1">
      <c r="A834" s="7" t="s">
        <v>871</v>
      </c>
      <c r="B834" s="8">
        <v>0</v>
      </c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>
        <v>4</v>
      </c>
      <c r="S834" s="8"/>
      <c r="T834" s="8"/>
      <c r="U834" s="8"/>
      <c r="V834" s="8"/>
      <c r="W834" s="8"/>
      <c r="X834" s="8"/>
      <c r="Y834" s="8"/>
      <c r="Z834" s="8">
        <v>4</v>
      </c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>
        <f t="shared" si="45"/>
        <v>0</v>
      </c>
      <c r="AL834" s="8">
        <f t="shared" si="46"/>
        <v>0</v>
      </c>
      <c r="AM834" s="9"/>
    </row>
    <row r="835" spans="1:39" ht="24.95" customHeight="1">
      <c r="A835" s="7" t="s">
        <v>872</v>
      </c>
      <c r="B835" s="8">
        <v>0</v>
      </c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>
        <f t="shared" si="45"/>
        <v>0</v>
      </c>
      <c r="AL835" s="8">
        <f t="shared" si="46"/>
        <v>0</v>
      </c>
      <c r="AM835" s="9"/>
    </row>
    <row r="836" spans="1:39" ht="24.95" customHeight="1">
      <c r="A836" s="20" t="s">
        <v>873</v>
      </c>
      <c r="B836" s="8">
        <v>329</v>
      </c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>
        <v>3</v>
      </c>
      <c r="AK836" s="8">
        <f t="shared" si="45"/>
        <v>-3</v>
      </c>
      <c r="AL836" s="8">
        <f t="shared" si="46"/>
        <v>326</v>
      </c>
      <c r="AM836" s="9"/>
    </row>
    <row r="837" spans="1:39" ht="24.95" customHeight="1">
      <c r="A837" s="20" t="s">
        <v>874</v>
      </c>
      <c r="B837" s="8">
        <v>5133</v>
      </c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>
        <f>+Z838*2</f>
        <v>0</v>
      </c>
      <c r="AB837" s="8"/>
      <c r="AC837" s="8"/>
      <c r="AD837" s="8"/>
      <c r="AE837" s="8"/>
      <c r="AF837" s="8"/>
      <c r="AG837" s="8"/>
      <c r="AH837" s="8"/>
      <c r="AI837" s="8"/>
      <c r="AJ837" s="8"/>
      <c r="AK837" s="8">
        <f t="shared" si="45"/>
        <v>0</v>
      </c>
      <c r="AL837" s="8">
        <f t="shared" si="46"/>
        <v>5133</v>
      </c>
      <c r="AM837" s="9"/>
    </row>
    <row r="838" spans="1:39" ht="24.95" customHeight="1">
      <c r="A838" s="20" t="s">
        <v>875</v>
      </c>
      <c r="B838" s="8">
        <v>47</v>
      </c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>
        <f t="shared" si="45"/>
        <v>0</v>
      </c>
      <c r="AL838" s="8">
        <f t="shared" si="46"/>
        <v>47</v>
      </c>
      <c r="AM838" s="9"/>
    </row>
    <row r="839" spans="1:39" ht="24.95" customHeight="1">
      <c r="A839" s="20" t="s">
        <v>876</v>
      </c>
      <c r="B839" s="8">
        <v>4057</v>
      </c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>
        <f>+Z840*2</f>
        <v>0</v>
      </c>
      <c r="AB839" s="8"/>
      <c r="AC839" s="8"/>
      <c r="AD839" s="8"/>
      <c r="AE839" s="8"/>
      <c r="AF839" s="8"/>
      <c r="AG839" s="8"/>
      <c r="AH839" s="8"/>
      <c r="AI839" s="8"/>
      <c r="AJ839" s="8">
        <v>3</v>
      </c>
      <c r="AK839" s="8">
        <f t="shared" si="45"/>
        <v>-3</v>
      </c>
      <c r="AL839" s="8">
        <f t="shared" si="46"/>
        <v>4054</v>
      </c>
      <c r="AM839" s="9"/>
    </row>
    <row r="840" spans="1:39" ht="24.95" customHeight="1">
      <c r="A840" s="20" t="s">
        <v>877</v>
      </c>
      <c r="B840" s="8">
        <v>0</v>
      </c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>
        <f t="shared" si="45"/>
        <v>0</v>
      </c>
      <c r="AL840" s="8">
        <f t="shared" si="46"/>
        <v>0</v>
      </c>
      <c r="AM840" s="9"/>
    </row>
    <row r="841" spans="1:39" s="26" customFormat="1" ht="24.95" customHeight="1">
      <c r="A841" s="20" t="s">
        <v>878</v>
      </c>
      <c r="B841" s="8">
        <v>885</v>
      </c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>
        <f>+Z842*2+Z843*3</f>
        <v>0</v>
      </c>
      <c r="AB841" s="8"/>
      <c r="AC841" s="8"/>
      <c r="AD841" s="8"/>
      <c r="AE841" s="8"/>
      <c r="AF841" s="8"/>
      <c r="AG841" s="8"/>
      <c r="AH841" s="8"/>
      <c r="AI841" s="8"/>
      <c r="AJ841" s="8">
        <v>2</v>
      </c>
      <c r="AK841" s="8">
        <f t="shared" si="45"/>
        <v>-2</v>
      </c>
      <c r="AL841" s="8">
        <f t="shared" si="46"/>
        <v>883</v>
      </c>
      <c r="AM841" s="9"/>
    </row>
    <row r="842" spans="1:39" s="26" customFormat="1" ht="24.95" customHeight="1">
      <c r="A842" s="20" t="s">
        <v>879</v>
      </c>
      <c r="B842" s="8">
        <v>0</v>
      </c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>
        <f t="shared" si="45"/>
        <v>0</v>
      </c>
      <c r="AL842" s="8">
        <f t="shared" si="46"/>
        <v>0</v>
      </c>
      <c r="AM842" s="9"/>
    </row>
    <row r="843" spans="1:39" s="26" customFormat="1" ht="24.95" customHeight="1">
      <c r="A843" s="20" t="s">
        <v>880</v>
      </c>
      <c r="B843" s="8">
        <v>0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>
        <f t="shared" si="45"/>
        <v>0</v>
      </c>
      <c r="AL843" s="8">
        <f t="shared" si="46"/>
        <v>0</v>
      </c>
      <c r="AM843" s="9"/>
    </row>
    <row r="844" spans="1:39" s="26" customFormat="1" ht="24.95" customHeight="1">
      <c r="A844" s="21" t="s">
        <v>881</v>
      </c>
      <c r="B844" s="8">
        <v>5</v>
      </c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>
        <f t="shared" si="45"/>
        <v>0</v>
      </c>
      <c r="AL844" s="8">
        <f t="shared" si="46"/>
        <v>5</v>
      </c>
      <c r="AM844" s="9"/>
    </row>
    <row r="845" spans="1:39" s="26" customFormat="1" ht="24.95" customHeight="1">
      <c r="A845" s="21" t="s">
        <v>882</v>
      </c>
      <c r="B845" s="8">
        <v>5558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>
        <f>+Z846*2+Z847*3</f>
        <v>0</v>
      </c>
      <c r="AB845" s="8"/>
      <c r="AC845" s="8"/>
      <c r="AD845" s="8"/>
      <c r="AE845" s="8"/>
      <c r="AF845" s="8"/>
      <c r="AG845" s="8"/>
      <c r="AH845" s="8"/>
      <c r="AI845" s="8"/>
      <c r="AJ845" s="8">
        <v>9</v>
      </c>
      <c r="AK845" s="8">
        <f t="shared" si="45"/>
        <v>-9</v>
      </c>
      <c r="AL845" s="8">
        <f t="shared" si="46"/>
        <v>5549</v>
      </c>
      <c r="AM845" s="9"/>
    </row>
    <row r="846" spans="1:39" s="26" customFormat="1" ht="24.95" customHeight="1">
      <c r="A846" s="21" t="s">
        <v>883</v>
      </c>
      <c r="B846" s="8">
        <v>620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>
        <f t="shared" si="45"/>
        <v>0</v>
      </c>
      <c r="AL846" s="8">
        <f t="shared" si="46"/>
        <v>620</v>
      </c>
      <c r="AM846" s="9"/>
    </row>
    <row r="847" spans="1:39" s="26" customFormat="1" ht="24.95" customHeight="1">
      <c r="A847" s="21" t="s">
        <v>884</v>
      </c>
      <c r="B847" s="8">
        <v>360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>
        <f t="shared" si="45"/>
        <v>0</v>
      </c>
      <c r="AL847" s="8">
        <f t="shared" si="46"/>
        <v>360</v>
      </c>
      <c r="AM847" s="9"/>
    </row>
    <row r="848" spans="1:39" s="26" customFormat="1" ht="24.95" customHeight="1">
      <c r="A848" s="21" t="s">
        <v>885</v>
      </c>
      <c r="B848" s="8">
        <v>3</v>
      </c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>
        <f t="shared" si="45"/>
        <v>0</v>
      </c>
      <c r="AL848" s="8">
        <f t="shared" si="46"/>
        <v>3</v>
      </c>
      <c r="AM848" s="9"/>
    </row>
    <row r="849" spans="1:39" s="26" customFormat="1" ht="24.95" customHeight="1">
      <c r="A849" s="21" t="s">
        <v>886</v>
      </c>
      <c r="B849" s="8">
        <v>425</v>
      </c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>
        <f>+Z850*2+Z851*3</f>
        <v>0</v>
      </c>
      <c r="AB849" s="8"/>
      <c r="AC849" s="8"/>
      <c r="AD849" s="8"/>
      <c r="AE849" s="8"/>
      <c r="AF849" s="8"/>
      <c r="AG849" s="8"/>
      <c r="AH849" s="8"/>
      <c r="AI849" s="8"/>
      <c r="AJ849" s="8"/>
      <c r="AK849" s="8">
        <f t="shared" si="45"/>
        <v>0</v>
      </c>
      <c r="AL849" s="8">
        <f t="shared" si="46"/>
        <v>425</v>
      </c>
      <c r="AM849" s="9"/>
    </row>
    <row r="850" spans="1:39" s="26" customFormat="1" ht="24.95" customHeight="1">
      <c r="A850" s="21" t="s">
        <v>887</v>
      </c>
      <c r="B850" s="8">
        <v>76</v>
      </c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>
        <f t="shared" si="45"/>
        <v>0</v>
      </c>
      <c r="AL850" s="8">
        <f t="shared" si="46"/>
        <v>76</v>
      </c>
      <c r="AM850" s="9"/>
    </row>
    <row r="851" spans="1:39" s="26" customFormat="1" ht="24.95" customHeight="1">
      <c r="A851" s="21" t="s">
        <v>888</v>
      </c>
      <c r="B851" s="8">
        <v>0</v>
      </c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>
        <f t="shared" si="45"/>
        <v>0</v>
      </c>
      <c r="AL851" s="8">
        <f t="shared" si="46"/>
        <v>0</v>
      </c>
      <c r="AM851" s="9"/>
    </row>
    <row r="852" spans="1:39" s="26" customFormat="1" ht="24.95" customHeight="1">
      <c r="A852" s="21" t="s">
        <v>889</v>
      </c>
      <c r="B852" s="8">
        <v>414</v>
      </c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>
        <f>+Z853*2+Z854*3</f>
        <v>0</v>
      </c>
      <c r="AB852" s="8"/>
      <c r="AC852" s="8"/>
      <c r="AD852" s="8"/>
      <c r="AE852" s="8"/>
      <c r="AF852" s="8"/>
      <c r="AG852" s="8"/>
      <c r="AH852" s="8"/>
      <c r="AI852" s="8"/>
      <c r="AJ852" s="8"/>
      <c r="AK852" s="8">
        <f t="shared" si="45"/>
        <v>0</v>
      </c>
      <c r="AL852" s="8">
        <f t="shared" si="46"/>
        <v>414</v>
      </c>
      <c r="AM852" s="9"/>
    </row>
    <row r="853" spans="1:39" s="26" customFormat="1" ht="24.95" customHeight="1">
      <c r="A853" s="21" t="s">
        <v>890</v>
      </c>
      <c r="B853" s="8">
        <v>49</v>
      </c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>
        <f t="shared" si="45"/>
        <v>0</v>
      </c>
      <c r="AL853" s="8">
        <f t="shared" si="46"/>
        <v>49</v>
      </c>
      <c r="AM853" s="9"/>
    </row>
    <row r="854" spans="1:39" s="26" customFormat="1" ht="24.95" customHeight="1">
      <c r="A854" s="21" t="s">
        <v>891</v>
      </c>
      <c r="B854" s="8">
        <v>0</v>
      </c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>
        <f t="shared" si="45"/>
        <v>0</v>
      </c>
      <c r="AL854" s="8">
        <f t="shared" si="46"/>
        <v>0</v>
      </c>
      <c r="AM854" s="9"/>
    </row>
    <row r="855" spans="1:39" s="26" customFormat="1" ht="24.95" customHeight="1">
      <c r="A855" s="21" t="s">
        <v>892</v>
      </c>
      <c r="B855" s="8">
        <v>9</v>
      </c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>
        <f t="shared" si="45"/>
        <v>0</v>
      </c>
      <c r="AL855" s="8">
        <f t="shared" si="46"/>
        <v>9</v>
      </c>
      <c r="AM855" s="9"/>
    </row>
    <row r="856" spans="1:39" s="26" customFormat="1" ht="24.95" customHeight="1">
      <c r="A856" s="21" t="s">
        <v>893</v>
      </c>
      <c r="B856" s="8">
        <v>200</v>
      </c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>
        <f t="shared" si="45"/>
        <v>0</v>
      </c>
      <c r="AL856" s="8">
        <f t="shared" si="46"/>
        <v>200</v>
      </c>
      <c r="AM856" s="9"/>
    </row>
    <row r="857" spans="1:39" s="26" customFormat="1" ht="24.95" customHeight="1">
      <c r="A857" s="21" t="s">
        <v>894</v>
      </c>
      <c r="B857" s="8">
        <v>0</v>
      </c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>
        <f>+Y859*2</f>
        <v>0</v>
      </c>
      <c r="Y857" s="8"/>
      <c r="Z857" s="8"/>
      <c r="AA857" s="8">
        <f>+Z859*2</f>
        <v>0</v>
      </c>
      <c r="AB857" s="8"/>
      <c r="AC857" s="8"/>
      <c r="AD857" s="8"/>
      <c r="AE857" s="8">
        <f>+AD858</f>
        <v>0</v>
      </c>
      <c r="AF857" s="8"/>
      <c r="AG857" s="8"/>
      <c r="AH857" s="8"/>
      <c r="AI857" s="8"/>
      <c r="AJ857" s="8"/>
      <c r="AK857" s="8">
        <f t="shared" si="45"/>
        <v>0</v>
      </c>
      <c r="AL857" s="8">
        <f t="shared" si="46"/>
        <v>0</v>
      </c>
      <c r="AM857" s="9"/>
    </row>
    <row r="858" spans="1:39" s="26" customFormat="1" ht="24.95" customHeight="1">
      <c r="A858" s="21" t="s">
        <v>895</v>
      </c>
      <c r="B858" s="8">
        <v>0</v>
      </c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>
        <f t="shared" si="45"/>
        <v>0</v>
      </c>
      <c r="AL858" s="8">
        <f t="shared" si="46"/>
        <v>0</v>
      </c>
      <c r="AM858" s="9"/>
    </row>
    <row r="859" spans="1:39" s="26" customFormat="1" ht="24.95" customHeight="1">
      <c r="A859" s="21" t="s">
        <v>896</v>
      </c>
      <c r="B859" s="8">
        <v>0</v>
      </c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>
        <f t="shared" si="45"/>
        <v>0</v>
      </c>
      <c r="AL859" s="8">
        <f t="shared" si="46"/>
        <v>0</v>
      </c>
      <c r="AM859" s="9"/>
    </row>
    <row r="860" spans="1:39" s="26" customFormat="1" ht="24.95" customHeight="1">
      <c r="A860" s="21" t="s">
        <v>897</v>
      </c>
      <c r="B860" s="8">
        <v>190</v>
      </c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>
        <f>+Z861*2+Z862*3</f>
        <v>0</v>
      </c>
      <c r="AB860" s="8"/>
      <c r="AC860" s="8"/>
      <c r="AD860" s="8"/>
      <c r="AE860" s="8"/>
      <c r="AF860" s="8"/>
      <c r="AG860" s="8"/>
      <c r="AH860" s="8"/>
      <c r="AI860" s="8"/>
      <c r="AJ860" s="8"/>
      <c r="AK860" s="8">
        <f t="shared" si="45"/>
        <v>0</v>
      </c>
      <c r="AL860" s="8">
        <f t="shared" si="46"/>
        <v>190</v>
      </c>
      <c r="AM860" s="9"/>
    </row>
    <row r="861" spans="1:39" s="26" customFormat="1" ht="24.95" customHeight="1">
      <c r="A861" s="21" t="s">
        <v>898</v>
      </c>
      <c r="B861" s="8">
        <v>124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>
        <f t="shared" si="45"/>
        <v>0</v>
      </c>
      <c r="AL861" s="8">
        <f t="shared" si="46"/>
        <v>124</v>
      </c>
      <c r="AM861" s="9"/>
    </row>
    <row r="862" spans="1:39" s="26" customFormat="1" ht="24.95" customHeight="1">
      <c r="A862" s="21" t="s">
        <v>899</v>
      </c>
      <c r="B862" s="8">
        <v>0</v>
      </c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>
        <f t="shared" si="45"/>
        <v>0</v>
      </c>
      <c r="AL862" s="8">
        <f t="shared" si="46"/>
        <v>0</v>
      </c>
      <c r="AM862" s="9"/>
    </row>
    <row r="863" spans="1:39" s="26" customFormat="1" ht="24.95" customHeight="1">
      <c r="A863" s="21" t="s">
        <v>900</v>
      </c>
      <c r="B863" s="8">
        <v>316</v>
      </c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>
        <f>+Z864*2</f>
        <v>0</v>
      </c>
      <c r="AB863" s="8"/>
      <c r="AC863" s="8"/>
      <c r="AD863" s="8"/>
      <c r="AE863" s="8"/>
      <c r="AF863" s="8"/>
      <c r="AG863" s="8"/>
      <c r="AH863" s="8"/>
      <c r="AI863" s="8"/>
      <c r="AJ863" s="8">
        <v>2</v>
      </c>
      <c r="AK863" s="8">
        <f t="shared" ref="AK863:AK934" si="47">SUM((D863+P863+G863+L863+S863+X863+Z863+AD863+M863+J863+V863+AB863+F863+AG863+O863+AI863)+(-N863-E863-R863-Q863-T863-Y863-AA863-AE863-AJ863-K863-I863-H863-U863-AC863-AF863-AH863-W863))</f>
        <v>-2</v>
      </c>
      <c r="AL863" s="8">
        <f t="shared" ref="AL863:AL934" si="48">B863+AK863</f>
        <v>314</v>
      </c>
      <c r="AM863" s="9"/>
    </row>
    <row r="864" spans="1:39" s="26" customFormat="1" ht="24.95" customHeight="1">
      <c r="A864" s="21" t="s">
        <v>901</v>
      </c>
      <c r="B864" s="8">
        <v>38</v>
      </c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>
        <f t="shared" si="47"/>
        <v>0</v>
      </c>
      <c r="AL864" s="8">
        <f t="shared" si="48"/>
        <v>38</v>
      </c>
      <c r="AM864" s="9"/>
    </row>
    <row r="865" spans="1:39" s="26" customFormat="1" ht="24.95" customHeight="1">
      <c r="A865" s="21" t="s">
        <v>902</v>
      </c>
      <c r="B865" s="8">
        <v>990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>
        <f>+Z866*2+Z867*3</f>
        <v>0</v>
      </c>
      <c r="AB865" s="8"/>
      <c r="AC865" s="8"/>
      <c r="AD865" s="8"/>
      <c r="AE865" s="8"/>
      <c r="AF865" s="8"/>
      <c r="AG865" s="8"/>
      <c r="AH865" s="8"/>
      <c r="AI865" s="8"/>
      <c r="AJ865" s="8"/>
      <c r="AK865" s="8">
        <f t="shared" si="47"/>
        <v>0</v>
      </c>
      <c r="AL865" s="8">
        <f t="shared" si="48"/>
        <v>990</v>
      </c>
      <c r="AM865" s="9"/>
    </row>
    <row r="866" spans="1:39" s="26" customFormat="1" ht="24.95" customHeight="1">
      <c r="A866" s="21" t="s">
        <v>903</v>
      </c>
      <c r="B866" s="8">
        <v>29</v>
      </c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>
        <f t="shared" si="47"/>
        <v>0</v>
      </c>
      <c r="AL866" s="8">
        <f t="shared" si="48"/>
        <v>29</v>
      </c>
      <c r="AM866" s="9"/>
    </row>
    <row r="867" spans="1:39" s="26" customFormat="1" ht="24.95" customHeight="1">
      <c r="A867" s="21" t="s">
        <v>904</v>
      </c>
      <c r="B867" s="8">
        <v>0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>
        <f t="shared" si="47"/>
        <v>0</v>
      </c>
      <c r="AL867" s="8">
        <f t="shared" si="48"/>
        <v>0</v>
      </c>
      <c r="AM867" s="9"/>
    </row>
    <row r="868" spans="1:39" s="26" customFormat="1" ht="24.95" customHeight="1">
      <c r="A868" s="21" t="s">
        <v>905</v>
      </c>
      <c r="B868" s="8">
        <v>4</v>
      </c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>
        <f>+Z869*2</f>
        <v>0</v>
      </c>
      <c r="AB868" s="8"/>
      <c r="AC868" s="8"/>
      <c r="AD868" s="8"/>
      <c r="AE868" s="8"/>
      <c r="AF868" s="8"/>
      <c r="AG868" s="8"/>
      <c r="AH868" s="8"/>
      <c r="AI868" s="8"/>
      <c r="AJ868" s="8"/>
      <c r="AK868" s="8">
        <f t="shared" si="47"/>
        <v>0</v>
      </c>
      <c r="AL868" s="8">
        <f t="shared" si="48"/>
        <v>4</v>
      </c>
      <c r="AM868" s="9"/>
    </row>
    <row r="869" spans="1:39" s="26" customFormat="1" ht="24.95" customHeight="1">
      <c r="A869" s="21" t="s">
        <v>906</v>
      </c>
      <c r="B869" s="8">
        <v>0</v>
      </c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>
        <f t="shared" si="47"/>
        <v>0</v>
      </c>
      <c r="AL869" s="8">
        <f t="shared" si="48"/>
        <v>0</v>
      </c>
      <c r="AM869" s="9"/>
    </row>
    <row r="870" spans="1:39" s="26" customFormat="1" ht="24.95" customHeight="1">
      <c r="A870" s="21" t="s">
        <v>907</v>
      </c>
      <c r="B870" s="8">
        <v>35</v>
      </c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>
        <f t="shared" si="47"/>
        <v>0</v>
      </c>
      <c r="AL870" s="8">
        <f t="shared" si="48"/>
        <v>35</v>
      </c>
      <c r="AM870" s="9"/>
    </row>
    <row r="871" spans="1:39" s="26" customFormat="1" ht="24.95" customHeight="1">
      <c r="A871" s="21" t="s">
        <v>908</v>
      </c>
      <c r="B871" s="8">
        <v>2</v>
      </c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>
        <f t="shared" si="47"/>
        <v>0</v>
      </c>
      <c r="AL871" s="8">
        <f t="shared" si="48"/>
        <v>2</v>
      </c>
      <c r="AM871" s="9"/>
    </row>
    <row r="872" spans="1:39" s="26" customFormat="1" ht="24.95" customHeight="1">
      <c r="A872" s="21" t="s">
        <v>909</v>
      </c>
      <c r="B872" s="8">
        <v>399</v>
      </c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>
        <f t="shared" si="47"/>
        <v>0</v>
      </c>
      <c r="AL872" s="8">
        <f t="shared" si="48"/>
        <v>399</v>
      </c>
      <c r="AM872" s="9"/>
    </row>
    <row r="873" spans="1:39" s="26" customFormat="1" ht="24.95" customHeight="1">
      <c r="A873" s="21" t="s">
        <v>910</v>
      </c>
      <c r="B873" s="8">
        <v>2314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>
        <f>Z874*2+Z875*3+Z876*4</f>
        <v>0</v>
      </c>
      <c r="AB873" s="8"/>
      <c r="AC873" s="8"/>
      <c r="AD873" s="8"/>
      <c r="AE873" s="8"/>
      <c r="AF873" s="8"/>
      <c r="AG873" s="8"/>
      <c r="AH873" s="8"/>
      <c r="AI873" s="8"/>
      <c r="AJ873" s="8">
        <v>4</v>
      </c>
      <c r="AK873" s="8">
        <f t="shared" si="47"/>
        <v>-4</v>
      </c>
      <c r="AL873" s="8">
        <f t="shared" si="48"/>
        <v>2310</v>
      </c>
      <c r="AM873" s="9"/>
    </row>
    <row r="874" spans="1:39" s="26" customFormat="1" ht="24.95" customHeight="1">
      <c r="A874" s="21" t="s">
        <v>911</v>
      </c>
      <c r="B874" s="8">
        <v>0</v>
      </c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>
        <f t="shared" si="47"/>
        <v>0</v>
      </c>
      <c r="AL874" s="8">
        <f t="shared" si="48"/>
        <v>0</v>
      </c>
      <c r="AM874" s="9"/>
    </row>
    <row r="875" spans="1:39" s="26" customFormat="1" ht="24.95" customHeight="1">
      <c r="A875" s="21" t="s">
        <v>912</v>
      </c>
      <c r="B875" s="8">
        <v>0</v>
      </c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>
        <f t="shared" si="47"/>
        <v>0</v>
      </c>
      <c r="AL875" s="8">
        <f t="shared" si="48"/>
        <v>0</v>
      </c>
      <c r="AM875" s="9"/>
    </row>
    <row r="876" spans="1:39" s="26" customFormat="1" ht="24.95" customHeight="1">
      <c r="A876" s="21" t="s">
        <v>913</v>
      </c>
      <c r="B876" s="8">
        <v>0</v>
      </c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>
        <f t="shared" si="47"/>
        <v>0</v>
      </c>
      <c r="AL876" s="8">
        <f t="shared" si="48"/>
        <v>0</v>
      </c>
      <c r="AM876" s="9"/>
    </row>
    <row r="877" spans="1:39" s="26" customFormat="1" ht="24.95" customHeight="1">
      <c r="A877" s="21" t="s">
        <v>914</v>
      </c>
      <c r="B877" s="8">
        <v>446</v>
      </c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>
        <f>+Y878*2</f>
        <v>0</v>
      </c>
      <c r="Y877" s="8"/>
      <c r="Z877" s="8"/>
      <c r="AA877" s="8">
        <f>+Z878*2+Z879*3</f>
        <v>0</v>
      </c>
      <c r="AB877" s="8"/>
      <c r="AC877" s="8"/>
      <c r="AD877" s="8"/>
      <c r="AE877" s="8"/>
      <c r="AF877" s="8"/>
      <c r="AG877" s="8"/>
      <c r="AH877" s="8"/>
      <c r="AI877" s="8"/>
      <c r="AJ877" s="8">
        <v>1</v>
      </c>
      <c r="AK877" s="8">
        <f t="shared" si="47"/>
        <v>-1</v>
      </c>
      <c r="AL877" s="8">
        <f t="shared" si="48"/>
        <v>445</v>
      </c>
      <c r="AM877" s="9"/>
    </row>
    <row r="878" spans="1:39" s="26" customFormat="1" ht="24.95" customHeight="1">
      <c r="A878" s="21" t="s">
        <v>915</v>
      </c>
      <c r="B878" s="8">
        <v>583</v>
      </c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>
        <f t="shared" si="47"/>
        <v>0</v>
      </c>
      <c r="AL878" s="8">
        <f t="shared" si="48"/>
        <v>583</v>
      </c>
      <c r="AM878" s="9"/>
    </row>
    <row r="879" spans="1:39" s="26" customFormat="1" ht="24.95" customHeight="1">
      <c r="A879" s="21" t="s">
        <v>916</v>
      </c>
      <c r="B879" s="8">
        <v>0</v>
      </c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>
        <f t="shared" si="47"/>
        <v>0</v>
      </c>
      <c r="AL879" s="8">
        <f t="shared" si="48"/>
        <v>0</v>
      </c>
      <c r="AM879" s="9"/>
    </row>
    <row r="880" spans="1:39" s="26" customFormat="1" ht="24.95" customHeight="1">
      <c r="A880" s="21" t="s">
        <v>917</v>
      </c>
      <c r="B880" s="8">
        <v>1728</v>
      </c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>
        <f>+Z881*2</f>
        <v>0</v>
      </c>
      <c r="AB880" s="8"/>
      <c r="AC880" s="8"/>
      <c r="AD880" s="8"/>
      <c r="AE880" s="8"/>
      <c r="AF880" s="8"/>
      <c r="AG880" s="8"/>
      <c r="AH880" s="8"/>
      <c r="AI880" s="8"/>
      <c r="AJ880" s="8">
        <v>1</v>
      </c>
      <c r="AK880" s="8">
        <f t="shared" si="47"/>
        <v>-1</v>
      </c>
      <c r="AL880" s="8">
        <f t="shared" si="48"/>
        <v>1727</v>
      </c>
      <c r="AM880" s="9"/>
    </row>
    <row r="881" spans="1:39" s="26" customFormat="1" ht="24.95" customHeight="1">
      <c r="A881" s="21" t="s">
        <v>918</v>
      </c>
      <c r="B881" s="8">
        <v>0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>
        <f t="shared" si="47"/>
        <v>0</v>
      </c>
      <c r="AL881" s="8">
        <f t="shared" si="48"/>
        <v>0</v>
      </c>
      <c r="AM881" s="9"/>
    </row>
    <row r="882" spans="1:39" s="26" customFormat="1" ht="24.95" customHeight="1">
      <c r="A882" s="21" t="s">
        <v>919</v>
      </c>
      <c r="B882" s="8">
        <v>1737</v>
      </c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>
        <f>+Y883*2</f>
        <v>0</v>
      </c>
      <c r="Y882" s="8"/>
      <c r="Z882" s="8"/>
      <c r="AA882" s="8">
        <f>+Z883*2+Z884*3+Z885*4</f>
        <v>0</v>
      </c>
      <c r="AB882" s="8"/>
      <c r="AC882" s="8"/>
      <c r="AD882" s="8"/>
      <c r="AE882" s="8"/>
      <c r="AF882" s="8"/>
      <c r="AG882" s="8"/>
      <c r="AH882" s="8"/>
      <c r="AI882" s="8"/>
      <c r="AJ882" s="8">
        <v>6</v>
      </c>
      <c r="AK882" s="8">
        <f t="shared" si="47"/>
        <v>-6</v>
      </c>
      <c r="AL882" s="8">
        <f t="shared" si="48"/>
        <v>1731</v>
      </c>
      <c r="AM882" s="9"/>
    </row>
    <row r="883" spans="1:39" s="26" customFormat="1" ht="24.95" customHeight="1">
      <c r="A883" s="21" t="s">
        <v>920</v>
      </c>
      <c r="B883" s="8">
        <v>2313</v>
      </c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>
        <f t="shared" si="47"/>
        <v>0</v>
      </c>
      <c r="AL883" s="8">
        <f t="shared" si="48"/>
        <v>2313</v>
      </c>
      <c r="AM883" s="9"/>
    </row>
    <row r="884" spans="1:39" s="26" customFormat="1" ht="24.95" customHeight="1">
      <c r="A884" s="21" t="s">
        <v>921</v>
      </c>
      <c r="B884" s="8">
        <v>0</v>
      </c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>
        <f t="shared" si="47"/>
        <v>0</v>
      </c>
      <c r="AL884" s="8">
        <f t="shared" si="48"/>
        <v>0</v>
      </c>
      <c r="AM884" s="9"/>
    </row>
    <row r="885" spans="1:39" s="26" customFormat="1" ht="24.95" customHeight="1">
      <c r="A885" s="21" t="s">
        <v>922</v>
      </c>
      <c r="B885" s="8">
        <v>0</v>
      </c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>
        <f t="shared" si="47"/>
        <v>0</v>
      </c>
      <c r="AL885" s="8">
        <f t="shared" si="48"/>
        <v>0</v>
      </c>
      <c r="AM885" s="9"/>
    </row>
    <row r="886" spans="1:39" s="26" customFormat="1" ht="24.95" customHeight="1">
      <c r="A886" s="21" t="s">
        <v>923</v>
      </c>
      <c r="B886" s="8">
        <v>917</v>
      </c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>
        <f>+Z887*2</f>
        <v>0</v>
      </c>
      <c r="AB886" s="8"/>
      <c r="AC886" s="8"/>
      <c r="AD886" s="8"/>
      <c r="AE886" s="8"/>
      <c r="AF886" s="8"/>
      <c r="AG886" s="8"/>
      <c r="AH886" s="8"/>
      <c r="AI886" s="8"/>
      <c r="AJ886" s="8">
        <v>2</v>
      </c>
      <c r="AK886" s="8">
        <f t="shared" si="47"/>
        <v>-2</v>
      </c>
      <c r="AL886" s="8">
        <f t="shared" si="48"/>
        <v>915</v>
      </c>
      <c r="AM886" s="9"/>
    </row>
    <row r="887" spans="1:39" s="26" customFormat="1" ht="24.95" customHeight="1">
      <c r="A887" s="21" t="s">
        <v>924</v>
      </c>
      <c r="B887" s="8">
        <v>83</v>
      </c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>
        <f t="shared" si="47"/>
        <v>0</v>
      </c>
      <c r="AL887" s="8">
        <f t="shared" si="48"/>
        <v>83</v>
      </c>
      <c r="AM887" s="9"/>
    </row>
    <row r="888" spans="1:39" s="26" customFormat="1" ht="24.95" customHeight="1">
      <c r="A888" s="21" t="s">
        <v>925</v>
      </c>
      <c r="B888" s="8">
        <v>1</v>
      </c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>
        <f>+Y889*2</f>
        <v>4</v>
      </c>
      <c r="Y888" s="8"/>
      <c r="Z888" s="8"/>
      <c r="AA888" s="8">
        <f>+Z889*2</f>
        <v>0</v>
      </c>
      <c r="AB888" s="8"/>
      <c r="AC888" s="8"/>
      <c r="AD888" s="8"/>
      <c r="AE888" s="8"/>
      <c r="AF888" s="8"/>
      <c r="AG888" s="8"/>
      <c r="AH888" s="8"/>
      <c r="AI888" s="8"/>
      <c r="AJ888" s="8">
        <v>5</v>
      </c>
      <c r="AK888" s="8">
        <f t="shared" si="47"/>
        <v>-1</v>
      </c>
      <c r="AL888" s="8">
        <f t="shared" si="48"/>
        <v>0</v>
      </c>
      <c r="AM888" s="9"/>
    </row>
    <row r="889" spans="1:39" s="26" customFormat="1" ht="24.95" customHeight="1">
      <c r="A889" s="21" t="s">
        <v>926</v>
      </c>
      <c r="B889" s="8">
        <v>23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>
        <v>2</v>
      </c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>
        <f t="shared" si="47"/>
        <v>-2</v>
      </c>
      <c r="AL889" s="8">
        <f t="shared" si="48"/>
        <v>21</v>
      </c>
      <c r="AM889" s="9"/>
    </row>
    <row r="890" spans="1:39" s="26" customFormat="1" ht="24.95" customHeight="1">
      <c r="A890" s="21" t="s">
        <v>927</v>
      </c>
      <c r="B890" s="8">
        <v>3815</v>
      </c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>
        <f>Z891*2+Z892*3+Z893*4</f>
        <v>8</v>
      </c>
      <c r="AB890" s="8"/>
      <c r="AC890" s="8"/>
      <c r="AD890" s="8"/>
      <c r="AE890" s="8"/>
      <c r="AF890" s="8"/>
      <c r="AG890" s="8"/>
      <c r="AH890" s="8"/>
      <c r="AI890" s="8"/>
      <c r="AJ890" s="8"/>
      <c r="AK890" s="8">
        <f t="shared" si="47"/>
        <v>-8</v>
      </c>
      <c r="AL890" s="8">
        <f t="shared" si="48"/>
        <v>3807</v>
      </c>
      <c r="AM890" s="9"/>
    </row>
    <row r="891" spans="1:39" s="26" customFormat="1" ht="24.95" customHeight="1">
      <c r="A891" s="21" t="s">
        <v>928</v>
      </c>
      <c r="B891" s="8">
        <v>0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>
        <v>4</v>
      </c>
      <c r="S891" s="8"/>
      <c r="T891" s="8"/>
      <c r="U891" s="8"/>
      <c r="V891" s="8"/>
      <c r="W891" s="8"/>
      <c r="X891" s="8"/>
      <c r="Y891" s="8"/>
      <c r="Z891" s="8">
        <v>4</v>
      </c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>
        <f t="shared" si="47"/>
        <v>0</v>
      </c>
      <c r="AL891" s="8">
        <f t="shared" si="48"/>
        <v>0</v>
      </c>
      <c r="AM891" s="9"/>
    </row>
    <row r="892" spans="1:39" s="26" customFormat="1" ht="24.95" customHeight="1">
      <c r="A892" s="21" t="s">
        <v>929</v>
      </c>
      <c r="B892" s="8">
        <v>0</v>
      </c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>
        <f t="shared" si="47"/>
        <v>0</v>
      </c>
      <c r="AL892" s="8">
        <f t="shared" si="48"/>
        <v>0</v>
      </c>
      <c r="AM892" s="9"/>
    </row>
    <row r="893" spans="1:39" s="26" customFormat="1" ht="24.95" customHeight="1">
      <c r="A893" s="21" t="s">
        <v>930</v>
      </c>
      <c r="B893" s="8">
        <v>0</v>
      </c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>
        <f t="shared" si="47"/>
        <v>0</v>
      </c>
      <c r="AL893" s="8">
        <f t="shared" si="48"/>
        <v>0</v>
      </c>
      <c r="AM893" s="9"/>
    </row>
    <row r="894" spans="1:39" s="26" customFormat="1" ht="24.95" customHeight="1">
      <c r="A894" s="21" t="s">
        <v>931</v>
      </c>
      <c r="B894" s="8">
        <v>200</v>
      </c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>
        <f t="shared" si="47"/>
        <v>0</v>
      </c>
      <c r="AL894" s="8">
        <f t="shared" si="48"/>
        <v>200</v>
      </c>
      <c r="AM894" s="9"/>
    </row>
    <row r="895" spans="1:39" s="26" customFormat="1" ht="24.95" customHeight="1">
      <c r="A895" s="21" t="s">
        <v>932</v>
      </c>
      <c r="B895" s="8">
        <v>2778</v>
      </c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>
        <f>+Z896*2+Z897*3</f>
        <v>0</v>
      </c>
      <c r="AB895" s="8"/>
      <c r="AC895" s="8"/>
      <c r="AD895" s="8"/>
      <c r="AE895" s="8"/>
      <c r="AF895" s="8"/>
      <c r="AG895" s="8"/>
      <c r="AH895" s="8"/>
      <c r="AI895" s="8"/>
      <c r="AJ895" s="8">
        <v>3</v>
      </c>
      <c r="AK895" s="8">
        <f t="shared" si="47"/>
        <v>-3</v>
      </c>
      <c r="AL895" s="8">
        <f t="shared" si="48"/>
        <v>2775</v>
      </c>
      <c r="AM895" s="9"/>
    </row>
    <row r="896" spans="1:39" s="26" customFormat="1" ht="24.95" customHeight="1">
      <c r="A896" s="21" t="s">
        <v>933</v>
      </c>
      <c r="B896" s="8">
        <v>0</v>
      </c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>
        <f t="shared" si="47"/>
        <v>0</v>
      </c>
      <c r="AL896" s="8">
        <f t="shared" si="48"/>
        <v>0</v>
      </c>
      <c r="AM896" s="9"/>
    </row>
    <row r="897" spans="1:39" s="26" customFormat="1" ht="24.95" customHeight="1">
      <c r="A897" s="21" t="s">
        <v>934</v>
      </c>
      <c r="B897" s="8">
        <v>0</v>
      </c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>
        <f t="shared" si="47"/>
        <v>0</v>
      </c>
      <c r="AL897" s="8">
        <f t="shared" si="48"/>
        <v>0</v>
      </c>
      <c r="AM897" s="9"/>
    </row>
    <row r="898" spans="1:39" s="26" customFormat="1" ht="24.95" customHeight="1">
      <c r="A898" s="21" t="s">
        <v>935</v>
      </c>
      <c r="B898" s="8">
        <v>2974</v>
      </c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>
        <f>+Z899*2+Z900*3</f>
        <v>0</v>
      </c>
      <c r="AB898" s="8"/>
      <c r="AC898" s="8"/>
      <c r="AD898" s="8"/>
      <c r="AE898" s="8"/>
      <c r="AF898" s="8"/>
      <c r="AG898" s="8"/>
      <c r="AH898" s="8"/>
      <c r="AI898" s="8"/>
      <c r="AJ898" s="8"/>
      <c r="AK898" s="8">
        <f t="shared" si="47"/>
        <v>0</v>
      </c>
      <c r="AL898" s="8">
        <f t="shared" si="48"/>
        <v>2974</v>
      </c>
      <c r="AM898" s="9"/>
    </row>
    <row r="899" spans="1:39" s="26" customFormat="1" ht="24.95" customHeight="1">
      <c r="A899" s="21" t="s">
        <v>936</v>
      </c>
      <c r="B899" s="8">
        <v>0</v>
      </c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>
        <f t="shared" si="47"/>
        <v>0</v>
      </c>
      <c r="AL899" s="8">
        <f t="shared" si="48"/>
        <v>0</v>
      </c>
      <c r="AM899" s="9"/>
    </row>
    <row r="900" spans="1:39" s="26" customFormat="1" ht="24.95" customHeight="1">
      <c r="A900" s="21" t="s">
        <v>937</v>
      </c>
      <c r="B900" s="8">
        <v>0</v>
      </c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>
        <f t="shared" si="47"/>
        <v>0</v>
      </c>
      <c r="AL900" s="8">
        <f t="shared" si="48"/>
        <v>0</v>
      </c>
      <c r="AM900" s="9"/>
    </row>
    <row r="901" spans="1:39" s="26" customFormat="1" ht="24.95" customHeight="1">
      <c r="A901" s="21" t="s">
        <v>938</v>
      </c>
      <c r="B901" s="8">
        <v>338</v>
      </c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>
        <f>Z902*2+Z903*3+Z904*4</f>
        <v>0</v>
      </c>
      <c r="AB901" s="8"/>
      <c r="AC901" s="8"/>
      <c r="AD901" s="8"/>
      <c r="AE901" s="8"/>
      <c r="AF901" s="8"/>
      <c r="AG901" s="8"/>
      <c r="AH901" s="8"/>
      <c r="AI901" s="8"/>
      <c r="AJ901" s="8"/>
      <c r="AK901" s="8">
        <f t="shared" si="47"/>
        <v>0</v>
      </c>
      <c r="AL901" s="8">
        <f t="shared" si="48"/>
        <v>338</v>
      </c>
      <c r="AM901" s="9"/>
    </row>
    <row r="902" spans="1:39" s="26" customFormat="1" ht="24.95" customHeight="1">
      <c r="A902" s="21" t="s">
        <v>939</v>
      </c>
      <c r="B902" s="8">
        <v>0</v>
      </c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>
        <f t="shared" si="47"/>
        <v>0</v>
      </c>
      <c r="AL902" s="8">
        <f t="shared" si="48"/>
        <v>0</v>
      </c>
      <c r="AM902" s="9"/>
    </row>
    <row r="903" spans="1:39" s="26" customFormat="1" ht="24.95" customHeight="1">
      <c r="A903" s="21" t="s">
        <v>940</v>
      </c>
      <c r="B903" s="8">
        <v>0</v>
      </c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>
        <f t="shared" si="47"/>
        <v>0</v>
      </c>
      <c r="AL903" s="8">
        <f t="shared" si="48"/>
        <v>0</v>
      </c>
      <c r="AM903" s="9"/>
    </row>
    <row r="904" spans="1:39" s="26" customFormat="1" ht="24.95" customHeight="1">
      <c r="A904" s="21" t="s">
        <v>941</v>
      </c>
      <c r="B904" s="8">
        <v>0</v>
      </c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>
        <f t="shared" si="47"/>
        <v>0</v>
      </c>
      <c r="AL904" s="8">
        <f t="shared" si="48"/>
        <v>0</v>
      </c>
      <c r="AM904" s="9"/>
    </row>
    <row r="905" spans="1:39" s="26" customFormat="1" ht="24.95" customHeight="1">
      <c r="A905" s="21" t="s">
        <v>942</v>
      </c>
      <c r="B905" s="8">
        <v>1</v>
      </c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>
        <f>Y906*2</f>
        <v>2</v>
      </c>
      <c r="Y905" s="8"/>
      <c r="Z905" s="8"/>
      <c r="AA905" s="8">
        <f>+Z906*2</f>
        <v>0</v>
      </c>
      <c r="AB905" s="8"/>
      <c r="AC905" s="8"/>
      <c r="AD905" s="8"/>
      <c r="AE905" s="8"/>
      <c r="AF905" s="8"/>
      <c r="AG905" s="8"/>
      <c r="AH905" s="8"/>
      <c r="AI905" s="8"/>
      <c r="AJ905" s="8">
        <v>2</v>
      </c>
      <c r="AK905" s="8">
        <f t="shared" si="47"/>
        <v>0</v>
      </c>
      <c r="AL905" s="8">
        <f t="shared" si="48"/>
        <v>1</v>
      </c>
      <c r="AM905" s="9"/>
    </row>
    <row r="906" spans="1:39" s="26" customFormat="1" ht="24.95" customHeight="1">
      <c r="A906" s="21" t="s">
        <v>943</v>
      </c>
      <c r="B906" s="8">
        <v>82</v>
      </c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>
        <v>1</v>
      </c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>
        <f t="shared" si="47"/>
        <v>-1</v>
      </c>
      <c r="AL906" s="8">
        <f t="shared" si="48"/>
        <v>81</v>
      </c>
      <c r="AM906" s="9"/>
    </row>
    <row r="907" spans="1:39" s="26" customFormat="1" ht="24.95" customHeight="1">
      <c r="A907" s="21" t="s">
        <v>944</v>
      </c>
      <c r="B907" s="8">
        <v>194</v>
      </c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>
        <f>+Z908*2</f>
        <v>0</v>
      </c>
      <c r="AB907" s="8"/>
      <c r="AC907" s="8"/>
      <c r="AD907" s="8"/>
      <c r="AE907" s="8"/>
      <c r="AF907" s="8"/>
      <c r="AG907" s="8"/>
      <c r="AH907" s="8"/>
      <c r="AI907" s="8"/>
      <c r="AJ907" s="8">
        <v>2</v>
      </c>
      <c r="AK907" s="8">
        <f t="shared" si="47"/>
        <v>-2</v>
      </c>
      <c r="AL907" s="8">
        <f t="shared" si="48"/>
        <v>192</v>
      </c>
      <c r="AM907" s="9"/>
    </row>
    <row r="908" spans="1:39" s="26" customFormat="1" ht="24.95" customHeight="1">
      <c r="A908" s="21" t="s">
        <v>945</v>
      </c>
      <c r="B908" s="8">
        <v>13</v>
      </c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>
        <f t="shared" si="47"/>
        <v>0</v>
      </c>
      <c r="AL908" s="8">
        <f t="shared" si="48"/>
        <v>13</v>
      </c>
      <c r="AM908" s="9"/>
    </row>
    <row r="909" spans="1:39" s="26" customFormat="1" ht="24.95" customHeight="1">
      <c r="A909" s="21" t="s">
        <v>946</v>
      </c>
      <c r="B909" s="8">
        <v>272</v>
      </c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>
        <f>+Z910*2</f>
        <v>0</v>
      </c>
      <c r="AB909" s="8"/>
      <c r="AC909" s="8"/>
      <c r="AD909" s="8"/>
      <c r="AE909" s="8"/>
      <c r="AF909" s="8"/>
      <c r="AG909" s="8"/>
      <c r="AH909" s="8"/>
      <c r="AI909" s="8"/>
      <c r="AJ909" s="8"/>
      <c r="AK909" s="8">
        <f t="shared" si="47"/>
        <v>0</v>
      </c>
      <c r="AL909" s="8">
        <f t="shared" si="48"/>
        <v>272</v>
      </c>
      <c r="AM909" s="9"/>
    </row>
    <row r="910" spans="1:39" s="26" customFormat="1" ht="24.95" customHeight="1">
      <c r="A910" s="7" t="s">
        <v>947</v>
      </c>
      <c r="B910" s="8">
        <v>0</v>
      </c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>
        <f t="shared" si="47"/>
        <v>0</v>
      </c>
      <c r="AL910" s="8">
        <f t="shared" si="48"/>
        <v>0</v>
      </c>
      <c r="AM910" s="9"/>
    </row>
    <row r="911" spans="1:39" s="26" customFormat="1" ht="24.95" customHeight="1">
      <c r="A911" s="21" t="s">
        <v>948</v>
      </c>
      <c r="B911" s="8">
        <v>663</v>
      </c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>
        <f>+Z912*2+Z913*3+Z914*4</f>
        <v>3</v>
      </c>
      <c r="AB911" s="8"/>
      <c r="AC911" s="8"/>
      <c r="AD911" s="8"/>
      <c r="AE911" s="8"/>
      <c r="AF911" s="8"/>
      <c r="AG911" s="8"/>
      <c r="AH911" s="8"/>
      <c r="AI911" s="8"/>
      <c r="AJ911" s="8">
        <v>10</v>
      </c>
      <c r="AK911" s="8">
        <f t="shared" si="47"/>
        <v>-13</v>
      </c>
      <c r="AL911" s="8">
        <f t="shared" si="48"/>
        <v>650</v>
      </c>
      <c r="AM911" s="9"/>
    </row>
    <row r="912" spans="1:39" s="26" customFormat="1" ht="24.95" customHeight="1">
      <c r="A912" s="21" t="s">
        <v>949</v>
      </c>
      <c r="B912" s="8">
        <v>83</v>
      </c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>
        <v>1</v>
      </c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>
        <f t="shared" si="47"/>
        <v>-1</v>
      </c>
      <c r="AL912" s="8">
        <f t="shared" si="48"/>
        <v>82</v>
      </c>
      <c r="AM912" s="9"/>
    </row>
    <row r="913" spans="1:39" s="26" customFormat="1" ht="24.95" customHeight="1">
      <c r="A913" s="21" t="s">
        <v>950</v>
      </c>
      <c r="B913" s="8">
        <v>0</v>
      </c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>
        <v>1</v>
      </c>
      <c r="S913" s="8"/>
      <c r="T913" s="8"/>
      <c r="U913" s="8"/>
      <c r="V913" s="8"/>
      <c r="W913" s="8"/>
      <c r="X913" s="8"/>
      <c r="Y913" s="8"/>
      <c r="Z913" s="8">
        <v>1</v>
      </c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>
        <f t="shared" si="47"/>
        <v>0</v>
      </c>
      <c r="AL913" s="8">
        <f t="shared" si="48"/>
        <v>0</v>
      </c>
      <c r="AM913" s="9"/>
    </row>
    <row r="914" spans="1:39" s="26" customFormat="1" ht="24.95" customHeight="1">
      <c r="A914" s="21" t="s">
        <v>951</v>
      </c>
      <c r="B914" s="8">
        <v>0</v>
      </c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>
        <f t="shared" si="47"/>
        <v>0</v>
      </c>
      <c r="AL914" s="8">
        <f t="shared" si="48"/>
        <v>0</v>
      </c>
      <c r="AM914" s="9"/>
    </row>
    <row r="915" spans="1:39" s="26" customFormat="1" ht="24.95" customHeight="1">
      <c r="A915" s="21" t="s">
        <v>952</v>
      </c>
      <c r="B915" s="8">
        <v>1242</v>
      </c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>
        <f>+Z916*2</f>
        <v>0</v>
      </c>
      <c r="AB915" s="8"/>
      <c r="AC915" s="8"/>
      <c r="AD915" s="8"/>
      <c r="AE915" s="8"/>
      <c r="AF915" s="8"/>
      <c r="AG915" s="8"/>
      <c r="AH915" s="8"/>
      <c r="AI915" s="8"/>
      <c r="AJ915" s="8"/>
      <c r="AK915" s="8">
        <f t="shared" si="47"/>
        <v>0</v>
      </c>
      <c r="AL915" s="8">
        <f t="shared" si="48"/>
        <v>1242</v>
      </c>
      <c r="AM915" s="9"/>
    </row>
    <row r="916" spans="1:39" s="26" customFormat="1" ht="24.95" customHeight="1">
      <c r="A916" s="21" t="s">
        <v>953</v>
      </c>
      <c r="B916" s="8">
        <v>30</v>
      </c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>
        <f t="shared" si="47"/>
        <v>0</v>
      </c>
      <c r="AL916" s="8">
        <f t="shared" si="48"/>
        <v>30</v>
      </c>
      <c r="AM916" s="9"/>
    </row>
    <row r="917" spans="1:39" s="26" customFormat="1" ht="24.95" customHeight="1">
      <c r="A917" s="21" t="s">
        <v>954</v>
      </c>
      <c r="B917" s="8">
        <v>3914</v>
      </c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>
        <f>+Y918*2</f>
        <v>0</v>
      </c>
      <c r="Y917" s="8"/>
      <c r="Z917" s="8"/>
      <c r="AA917" s="8">
        <f>+Z918*2+Z919*3</f>
        <v>0</v>
      </c>
      <c r="AB917" s="8"/>
      <c r="AC917" s="8"/>
      <c r="AD917" s="8"/>
      <c r="AE917" s="8"/>
      <c r="AF917" s="8"/>
      <c r="AG917" s="8"/>
      <c r="AH917" s="8"/>
      <c r="AI917" s="8"/>
      <c r="AJ917" s="8">
        <v>167</v>
      </c>
      <c r="AK917" s="8">
        <f t="shared" si="47"/>
        <v>-167</v>
      </c>
      <c r="AL917" s="8">
        <f t="shared" si="48"/>
        <v>3747</v>
      </c>
      <c r="AM917" s="9"/>
    </row>
    <row r="918" spans="1:39" s="26" customFormat="1" ht="24.95" customHeight="1">
      <c r="A918" s="20" t="s">
        <v>955</v>
      </c>
      <c r="B918" s="8">
        <v>0</v>
      </c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>
        <f t="shared" si="47"/>
        <v>0</v>
      </c>
      <c r="AL918" s="8">
        <f t="shared" si="48"/>
        <v>0</v>
      </c>
      <c r="AM918" s="9"/>
    </row>
    <row r="919" spans="1:39" s="26" customFormat="1" ht="24.95" customHeight="1">
      <c r="A919" s="20" t="s">
        <v>956</v>
      </c>
      <c r="B919" s="8">
        <v>0</v>
      </c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>
        <f t="shared" si="47"/>
        <v>0</v>
      </c>
      <c r="AL919" s="8">
        <f t="shared" si="48"/>
        <v>0</v>
      </c>
      <c r="AM919" s="9"/>
    </row>
    <row r="920" spans="1:39" s="26" customFormat="1" ht="24.95" customHeight="1">
      <c r="A920" s="21" t="s">
        <v>957</v>
      </c>
      <c r="B920" s="8">
        <v>803</v>
      </c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>
        <f>+Z921*2+Z922*3+Z923*4</f>
        <v>3</v>
      </c>
      <c r="AB920" s="8"/>
      <c r="AC920" s="8"/>
      <c r="AD920" s="8"/>
      <c r="AE920" s="8"/>
      <c r="AF920" s="8"/>
      <c r="AG920" s="8"/>
      <c r="AH920" s="8"/>
      <c r="AI920" s="8"/>
      <c r="AJ920" s="8">
        <v>11</v>
      </c>
      <c r="AK920" s="8">
        <f t="shared" si="47"/>
        <v>-14</v>
      </c>
      <c r="AL920" s="8">
        <f t="shared" si="48"/>
        <v>789</v>
      </c>
      <c r="AM920" s="9"/>
    </row>
    <row r="921" spans="1:39" s="26" customFormat="1" ht="24.95" customHeight="1">
      <c r="A921" s="21" t="s">
        <v>958</v>
      </c>
      <c r="B921" s="8">
        <v>0</v>
      </c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>
        <f t="shared" si="47"/>
        <v>0</v>
      </c>
      <c r="AL921" s="8">
        <f t="shared" si="48"/>
        <v>0</v>
      </c>
      <c r="AM921" s="9"/>
    </row>
    <row r="922" spans="1:39" s="26" customFormat="1" ht="24.95" customHeight="1">
      <c r="A922" s="21" t="s">
        <v>959</v>
      </c>
      <c r="B922" s="8">
        <v>0</v>
      </c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>
        <v>1</v>
      </c>
      <c r="AA922" s="8"/>
      <c r="AB922" s="8"/>
      <c r="AC922" s="8"/>
      <c r="AD922" s="8"/>
      <c r="AE922" s="8"/>
      <c r="AF922" s="8"/>
      <c r="AG922" s="8"/>
      <c r="AH922" s="8"/>
      <c r="AI922" s="8"/>
      <c r="AJ922" s="8">
        <v>1</v>
      </c>
      <c r="AK922" s="8">
        <f t="shared" si="47"/>
        <v>0</v>
      </c>
      <c r="AL922" s="8">
        <f t="shared" si="48"/>
        <v>0</v>
      </c>
      <c r="AM922" s="9"/>
    </row>
    <row r="923" spans="1:39" s="26" customFormat="1" ht="24.95" customHeight="1">
      <c r="A923" s="21" t="s">
        <v>960</v>
      </c>
      <c r="B923" s="8">
        <v>0</v>
      </c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>
        <f>+Z924*2+Z925*3</f>
        <v>0</v>
      </c>
      <c r="AB923" s="8"/>
      <c r="AC923" s="8"/>
      <c r="AD923" s="8"/>
      <c r="AE923" s="8"/>
      <c r="AF923" s="8"/>
      <c r="AG923" s="8"/>
      <c r="AH923" s="8"/>
      <c r="AI923" s="8"/>
      <c r="AJ923" s="8"/>
      <c r="AK923" s="8">
        <f t="shared" si="47"/>
        <v>0</v>
      </c>
      <c r="AL923" s="8">
        <f t="shared" si="48"/>
        <v>0</v>
      </c>
      <c r="AM923" s="9"/>
    </row>
    <row r="924" spans="1:39" s="26" customFormat="1" ht="24.95" customHeight="1">
      <c r="A924" s="21" t="s">
        <v>961</v>
      </c>
      <c r="B924" s="8">
        <v>66</v>
      </c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>
        <f t="shared" si="47"/>
        <v>0</v>
      </c>
      <c r="AL924" s="8">
        <f t="shared" si="48"/>
        <v>66</v>
      </c>
      <c r="AM924" s="9"/>
    </row>
    <row r="925" spans="1:39" s="26" customFormat="1" ht="24.95" customHeight="1">
      <c r="A925" s="21" t="s">
        <v>962</v>
      </c>
      <c r="B925" s="8">
        <v>16</v>
      </c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>
        <f>+Z926*2</f>
        <v>0</v>
      </c>
      <c r="AB925" s="8"/>
      <c r="AC925" s="8"/>
      <c r="AD925" s="8"/>
      <c r="AE925" s="8"/>
      <c r="AF925" s="8"/>
      <c r="AG925" s="8"/>
      <c r="AH925" s="8"/>
      <c r="AI925" s="8"/>
      <c r="AJ925" s="8">
        <v>2</v>
      </c>
      <c r="AK925" s="8">
        <f t="shared" si="47"/>
        <v>-2</v>
      </c>
      <c r="AL925" s="8">
        <f t="shared" si="48"/>
        <v>14</v>
      </c>
      <c r="AM925" s="9"/>
    </row>
    <row r="926" spans="1:39" s="26" customFormat="1" ht="24.95" customHeight="1">
      <c r="A926" s="21" t="s">
        <v>963</v>
      </c>
      <c r="B926" s="8">
        <v>45</v>
      </c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>
        <f t="shared" si="47"/>
        <v>0</v>
      </c>
      <c r="AL926" s="8">
        <f t="shared" si="48"/>
        <v>45</v>
      </c>
      <c r="AM926" s="9"/>
    </row>
    <row r="927" spans="1:39" s="26" customFormat="1" ht="24.95" customHeight="1">
      <c r="A927" s="21" t="s">
        <v>964</v>
      </c>
      <c r="B927" s="8">
        <v>91</v>
      </c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>
        <f t="shared" si="47"/>
        <v>0</v>
      </c>
      <c r="AL927" s="8">
        <f t="shared" si="48"/>
        <v>91</v>
      </c>
      <c r="AM927" s="9"/>
    </row>
    <row r="928" spans="1:39" s="26" customFormat="1" ht="24.95" customHeight="1">
      <c r="A928" s="21" t="s">
        <v>965</v>
      </c>
      <c r="B928" s="8">
        <v>1</v>
      </c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>
        <f>+Z929*2</f>
        <v>0</v>
      </c>
      <c r="AB928" s="8"/>
      <c r="AC928" s="8"/>
      <c r="AD928" s="8"/>
      <c r="AE928" s="8"/>
      <c r="AF928" s="8"/>
      <c r="AG928" s="8"/>
      <c r="AH928" s="8"/>
      <c r="AI928" s="8"/>
      <c r="AJ928" s="8"/>
      <c r="AK928" s="8">
        <f t="shared" si="47"/>
        <v>0</v>
      </c>
      <c r="AL928" s="8">
        <f t="shared" si="48"/>
        <v>1</v>
      </c>
      <c r="AM928" s="9"/>
    </row>
    <row r="929" spans="1:39" s="26" customFormat="1" ht="24.95" customHeight="1">
      <c r="A929" s="21" t="s">
        <v>966</v>
      </c>
      <c r="B929" s="8">
        <v>0</v>
      </c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>
        <f t="shared" si="47"/>
        <v>0</v>
      </c>
      <c r="AL929" s="8">
        <f t="shared" si="48"/>
        <v>0</v>
      </c>
      <c r="AM929" s="9"/>
    </row>
    <row r="930" spans="1:39" s="26" customFormat="1" ht="24.95" customHeight="1">
      <c r="A930" s="21" t="s">
        <v>967</v>
      </c>
      <c r="B930" s="8">
        <v>2052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>
        <v>2</v>
      </c>
      <c r="S930" s="8"/>
      <c r="T930" s="8"/>
      <c r="U930" s="8"/>
      <c r="V930" s="8"/>
      <c r="W930" s="8"/>
      <c r="X930" s="8"/>
      <c r="Y930" s="8"/>
      <c r="Z930" s="8"/>
      <c r="AA930" s="8">
        <f>+Z931*2+Z932*3+Z933*4</f>
        <v>13</v>
      </c>
      <c r="AB930" s="8"/>
      <c r="AC930" s="8"/>
      <c r="AD930" s="8"/>
      <c r="AE930" s="8"/>
      <c r="AF930" s="8"/>
      <c r="AG930" s="8"/>
      <c r="AH930" s="8"/>
      <c r="AI930" s="8"/>
      <c r="AJ930" s="8">
        <v>3</v>
      </c>
      <c r="AK930" s="8">
        <f t="shared" si="47"/>
        <v>-18</v>
      </c>
      <c r="AL930" s="8">
        <f t="shared" si="48"/>
        <v>2034</v>
      </c>
      <c r="AM930" s="9"/>
    </row>
    <row r="931" spans="1:39" s="26" customFormat="1" ht="24.95" customHeight="1">
      <c r="A931" s="21" t="s">
        <v>968</v>
      </c>
      <c r="B931" s="8">
        <v>0</v>
      </c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>
        <v>5</v>
      </c>
      <c r="S931" s="8"/>
      <c r="T931" s="8"/>
      <c r="U931" s="8"/>
      <c r="V931" s="8"/>
      <c r="W931" s="8"/>
      <c r="X931" s="8"/>
      <c r="Y931" s="8"/>
      <c r="Z931" s="8">
        <v>5</v>
      </c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>
        <f t="shared" si="47"/>
        <v>0</v>
      </c>
      <c r="AL931" s="8">
        <f t="shared" si="48"/>
        <v>0</v>
      </c>
      <c r="AM931" s="9"/>
    </row>
    <row r="932" spans="1:39" s="26" customFormat="1" ht="24.95" customHeight="1">
      <c r="A932" s="21" t="s">
        <v>969</v>
      </c>
      <c r="B932" s="8">
        <v>0</v>
      </c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>
        <v>1</v>
      </c>
      <c r="S932" s="8"/>
      <c r="T932" s="8"/>
      <c r="U932" s="8"/>
      <c r="V932" s="8"/>
      <c r="W932" s="8"/>
      <c r="X932" s="8"/>
      <c r="Y932" s="8"/>
      <c r="Z932" s="8">
        <v>1</v>
      </c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>
        <f t="shared" si="47"/>
        <v>0</v>
      </c>
      <c r="AL932" s="8">
        <f t="shared" si="48"/>
        <v>0</v>
      </c>
      <c r="AM932" s="9"/>
    </row>
    <row r="933" spans="1:39" s="26" customFormat="1" ht="24.95" customHeight="1">
      <c r="A933" s="21" t="s">
        <v>970</v>
      </c>
      <c r="B933" s="8">
        <v>0</v>
      </c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>
        <f t="shared" si="47"/>
        <v>0</v>
      </c>
      <c r="AL933" s="8">
        <f t="shared" si="48"/>
        <v>0</v>
      </c>
      <c r="AM933" s="9"/>
    </row>
    <row r="934" spans="1:39" s="26" customFormat="1" ht="24.95" customHeight="1">
      <c r="A934" s="21" t="s">
        <v>971</v>
      </c>
      <c r="B934" s="8">
        <v>0</v>
      </c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>
        <f t="shared" si="47"/>
        <v>0</v>
      </c>
      <c r="AL934" s="8">
        <f t="shared" si="48"/>
        <v>0</v>
      </c>
      <c r="AM934" s="9"/>
    </row>
    <row r="935" spans="1:39" s="26" customFormat="1" ht="24.95" customHeight="1">
      <c r="A935" s="21" t="s">
        <v>972</v>
      </c>
      <c r="B935" s="8">
        <v>804</v>
      </c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>
        <v>23</v>
      </c>
      <c r="S935" s="8"/>
      <c r="T935" s="8"/>
      <c r="U935" s="8"/>
      <c r="V935" s="8"/>
      <c r="W935" s="8"/>
      <c r="X935" s="8"/>
      <c r="Y935" s="8"/>
      <c r="Z935" s="8"/>
      <c r="AA935" s="8">
        <f>+Z936*2+Z937*3</f>
        <v>0</v>
      </c>
      <c r="AB935" s="8"/>
      <c r="AC935" s="8"/>
      <c r="AD935" s="8"/>
      <c r="AE935" s="8"/>
      <c r="AF935" s="8"/>
      <c r="AG935" s="8"/>
      <c r="AH935" s="8"/>
      <c r="AI935" s="8"/>
      <c r="AJ935" s="8">
        <v>40</v>
      </c>
      <c r="AK935" s="8">
        <f t="shared" ref="AK935:AK1004" si="49">SUM((D935+P935+G935+L935+S935+X935+Z935+AD935+M935+J935+V935+AB935+F935+AG935+O935+AI935)+(-N935-E935-R935-Q935-T935-Y935-AA935-AE935-AJ935-K935-I935-H935-U935-AC935-AF935-AH935-W935))</f>
        <v>-63</v>
      </c>
      <c r="AL935" s="8">
        <f t="shared" ref="AL935:AL1004" si="50">B935+AK935</f>
        <v>741</v>
      </c>
      <c r="AM935" s="9"/>
    </row>
    <row r="936" spans="1:39" s="26" customFormat="1" ht="24.95" customHeight="1">
      <c r="A936" s="21" t="s">
        <v>973</v>
      </c>
      <c r="B936" s="8">
        <v>0</v>
      </c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>
        <f t="shared" si="49"/>
        <v>0</v>
      </c>
      <c r="AL936" s="8">
        <f t="shared" si="50"/>
        <v>0</v>
      </c>
      <c r="AM936" s="9"/>
    </row>
    <row r="937" spans="1:39" s="26" customFormat="1" ht="24.95" customHeight="1">
      <c r="A937" s="21" t="s">
        <v>974</v>
      </c>
      <c r="B937" s="8">
        <v>0</v>
      </c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>
        <f t="shared" si="49"/>
        <v>0</v>
      </c>
      <c r="AL937" s="8">
        <f t="shared" si="50"/>
        <v>0</v>
      </c>
      <c r="AM937" s="9"/>
    </row>
    <row r="938" spans="1:39" s="26" customFormat="1" ht="24.95" customHeight="1">
      <c r="A938" s="21" t="s">
        <v>975</v>
      </c>
      <c r="B938" s="8">
        <v>16</v>
      </c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>
        <f t="shared" si="49"/>
        <v>0</v>
      </c>
      <c r="AL938" s="8">
        <f t="shared" si="50"/>
        <v>16</v>
      </c>
      <c r="AM938" s="9"/>
    </row>
    <row r="939" spans="1:39" s="26" customFormat="1" ht="24.95" customHeight="1">
      <c r="A939" s="21" t="s">
        <v>976</v>
      </c>
      <c r="B939" s="8">
        <v>1</v>
      </c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>
        <f>+Y940*2</f>
        <v>0</v>
      </c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>
        <f t="shared" si="49"/>
        <v>0</v>
      </c>
      <c r="AL939" s="8">
        <f t="shared" si="50"/>
        <v>1</v>
      </c>
      <c r="AM939" s="9"/>
    </row>
    <row r="940" spans="1:39" s="26" customFormat="1" ht="24.95" customHeight="1">
      <c r="A940" s="21" t="s">
        <v>977</v>
      </c>
      <c r="B940" s="8">
        <v>823</v>
      </c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>
        <f t="shared" si="49"/>
        <v>0</v>
      </c>
      <c r="AL940" s="8">
        <f t="shared" si="50"/>
        <v>823</v>
      </c>
      <c r="AM940" s="9"/>
    </row>
    <row r="941" spans="1:39" s="26" customFormat="1" ht="24.95" customHeight="1">
      <c r="A941" s="21" t="s">
        <v>978</v>
      </c>
      <c r="B941" s="8">
        <v>2108</v>
      </c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>
        <f>+Y942*2</f>
        <v>0</v>
      </c>
      <c r="Y941" s="8"/>
      <c r="Z941" s="8"/>
      <c r="AA941" s="8">
        <f>+Z942*2+Z943*3+Z944*4</f>
        <v>9</v>
      </c>
      <c r="AB941" s="8"/>
      <c r="AC941" s="8"/>
      <c r="AD941" s="8"/>
      <c r="AE941" s="8"/>
      <c r="AF941" s="8"/>
      <c r="AG941" s="8"/>
      <c r="AH941" s="8"/>
      <c r="AI941" s="8"/>
      <c r="AJ941" s="8">
        <v>3</v>
      </c>
      <c r="AK941" s="8">
        <f t="shared" si="49"/>
        <v>-12</v>
      </c>
      <c r="AL941" s="8">
        <f t="shared" si="50"/>
        <v>2096</v>
      </c>
      <c r="AM941" s="9"/>
    </row>
    <row r="942" spans="1:39" s="26" customFormat="1" ht="24.95" customHeight="1">
      <c r="A942" s="21" t="s">
        <v>979</v>
      </c>
      <c r="B942" s="8">
        <v>1020</v>
      </c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>
        <f t="shared" si="49"/>
        <v>0</v>
      </c>
      <c r="AL942" s="8">
        <f t="shared" si="50"/>
        <v>1020</v>
      </c>
      <c r="AM942" s="9"/>
    </row>
    <row r="943" spans="1:39" s="26" customFormat="1" ht="24.95" customHeight="1">
      <c r="A943" s="21" t="s">
        <v>980</v>
      </c>
      <c r="B943" s="8">
        <v>0</v>
      </c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>
        <v>3</v>
      </c>
      <c r="S943" s="8"/>
      <c r="T943" s="8"/>
      <c r="U943" s="8"/>
      <c r="V943" s="8"/>
      <c r="W943" s="8"/>
      <c r="X943" s="8"/>
      <c r="Y943" s="8"/>
      <c r="Z943" s="8">
        <v>3</v>
      </c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>
        <f t="shared" si="49"/>
        <v>0</v>
      </c>
      <c r="AL943" s="8">
        <f t="shared" si="50"/>
        <v>0</v>
      </c>
      <c r="AM943" s="9"/>
    </row>
    <row r="944" spans="1:39" s="26" customFormat="1" ht="24.95" customHeight="1">
      <c r="A944" s="21" t="s">
        <v>981</v>
      </c>
      <c r="B944" s="8">
        <v>0</v>
      </c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>
        <f t="shared" si="49"/>
        <v>0</v>
      </c>
      <c r="AL944" s="8">
        <f t="shared" si="50"/>
        <v>0</v>
      </c>
      <c r="AM944" s="9"/>
    </row>
    <row r="945" spans="1:39" s="26" customFormat="1" ht="24.95" customHeight="1">
      <c r="A945" s="21" t="s">
        <v>982</v>
      </c>
      <c r="B945" s="8">
        <v>1492</v>
      </c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>
        <f>+Z946*2+Z947*3</f>
        <v>0</v>
      </c>
      <c r="AB945" s="8"/>
      <c r="AC945" s="8"/>
      <c r="AD945" s="8"/>
      <c r="AE945" s="8"/>
      <c r="AF945" s="8"/>
      <c r="AG945" s="8"/>
      <c r="AH945" s="8"/>
      <c r="AI945" s="8"/>
      <c r="AJ945" s="8">
        <v>6</v>
      </c>
      <c r="AK945" s="8">
        <f t="shared" si="49"/>
        <v>-6</v>
      </c>
      <c r="AL945" s="8">
        <f t="shared" si="50"/>
        <v>1486</v>
      </c>
      <c r="AM945" s="9"/>
    </row>
    <row r="946" spans="1:39" s="26" customFormat="1" ht="24.95" customHeight="1">
      <c r="A946" s="21" t="s">
        <v>983</v>
      </c>
      <c r="B946" s="8">
        <v>1500</v>
      </c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>
        <f t="shared" si="49"/>
        <v>0</v>
      </c>
      <c r="AL946" s="8">
        <f t="shared" si="50"/>
        <v>1500</v>
      </c>
      <c r="AM946" s="9"/>
    </row>
    <row r="947" spans="1:39" s="26" customFormat="1" ht="24.95" customHeight="1">
      <c r="A947" s="21" t="s">
        <v>984</v>
      </c>
      <c r="B947" s="8">
        <v>0</v>
      </c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>
        <f t="shared" si="49"/>
        <v>0</v>
      </c>
      <c r="AL947" s="8">
        <f t="shared" si="50"/>
        <v>0</v>
      </c>
      <c r="AM947" s="9"/>
    </row>
    <row r="948" spans="1:39" s="26" customFormat="1" ht="24.95" customHeight="1">
      <c r="A948" s="21" t="s">
        <v>985</v>
      </c>
      <c r="B948" s="8">
        <v>60</v>
      </c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>
        <f t="shared" si="49"/>
        <v>0</v>
      </c>
      <c r="AL948" s="8">
        <f t="shared" si="50"/>
        <v>60</v>
      </c>
      <c r="AM948" s="9"/>
    </row>
    <row r="949" spans="1:39" s="26" customFormat="1" ht="24.95" customHeight="1">
      <c r="A949" s="21" t="s">
        <v>986</v>
      </c>
      <c r="B949" s="8">
        <v>20</v>
      </c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>
        <f t="shared" si="49"/>
        <v>0</v>
      </c>
      <c r="AL949" s="8">
        <f t="shared" si="50"/>
        <v>20</v>
      </c>
      <c r="AM949" s="9"/>
    </row>
    <row r="950" spans="1:39" s="26" customFormat="1" ht="24.95" customHeight="1">
      <c r="A950" s="21" t="s">
        <v>987</v>
      </c>
      <c r="B950" s="8">
        <v>0</v>
      </c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>
        <f t="shared" si="49"/>
        <v>0</v>
      </c>
      <c r="AL950" s="8">
        <f t="shared" si="50"/>
        <v>0</v>
      </c>
      <c r="AM950" s="9"/>
    </row>
    <row r="951" spans="1:39" s="26" customFormat="1" ht="24.95" customHeight="1">
      <c r="A951" s="21" t="s">
        <v>988</v>
      </c>
      <c r="B951" s="8">
        <v>0</v>
      </c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>
        <f t="shared" si="49"/>
        <v>0</v>
      </c>
      <c r="AL951" s="8">
        <f t="shared" si="50"/>
        <v>0</v>
      </c>
      <c r="AM951" s="9"/>
    </row>
    <row r="952" spans="1:39" s="26" customFormat="1" ht="24.95" customHeight="1">
      <c r="A952" s="21" t="s">
        <v>989</v>
      </c>
      <c r="B952" s="8">
        <v>115</v>
      </c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>
        <f t="shared" si="49"/>
        <v>0</v>
      </c>
      <c r="AL952" s="8">
        <f t="shared" si="50"/>
        <v>115</v>
      </c>
      <c r="AM952" s="9"/>
    </row>
    <row r="953" spans="1:39" s="26" customFormat="1" ht="24.95" customHeight="1">
      <c r="A953" s="21" t="s">
        <v>990</v>
      </c>
      <c r="B953" s="8">
        <v>118</v>
      </c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>
        <f t="shared" si="49"/>
        <v>0</v>
      </c>
      <c r="AL953" s="8">
        <f t="shared" si="50"/>
        <v>118</v>
      </c>
      <c r="AM953" s="9"/>
    </row>
    <row r="954" spans="1:39" s="26" customFormat="1" ht="24.95" customHeight="1">
      <c r="A954" s="21" t="s">
        <v>991</v>
      </c>
      <c r="B954" s="8">
        <v>96</v>
      </c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>
        <f t="shared" si="49"/>
        <v>0</v>
      </c>
      <c r="AL954" s="8">
        <f t="shared" si="50"/>
        <v>96</v>
      </c>
      <c r="AM954" s="9"/>
    </row>
    <row r="955" spans="1:39" s="26" customFormat="1" ht="24.95" customHeight="1">
      <c r="A955" s="21" t="s">
        <v>992</v>
      </c>
      <c r="B955" s="8">
        <v>2320</v>
      </c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>
        <f>+Z956*2</f>
        <v>0</v>
      </c>
      <c r="AB955" s="8"/>
      <c r="AC955" s="8"/>
      <c r="AD955" s="8"/>
      <c r="AE955" s="8"/>
      <c r="AF955" s="8"/>
      <c r="AG955" s="8"/>
      <c r="AH955" s="8"/>
      <c r="AI955" s="8"/>
      <c r="AJ955" s="8"/>
      <c r="AK955" s="8">
        <f t="shared" si="49"/>
        <v>0</v>
      </c>
      <c r="AL955" s="8">
        <f t="shared" si="50"/>
        <v>2320</v>
      </c>
      <c r="AM955" s="9"/>
    </row>
    <row r="956" spans="1:39" s="26" customFormat="1" ht="24.95" customHeight="1">
      <c r="A956" s="20" t="s">
        <v>993</v>
      </c>
      <c r="B956" s="8">
        <v>0</v>
      </c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>
        <f t="shared" si="49"/>
        <v>0</v>
      </c>
      <c r="AL956" s="8">
        <f t="shared" si="50"/>
        <v>0</v>
      </c>
      <c r="AM956" s="9"/>
    </row>
    <row r="957" spans="1:39" s="26" customFormat="1" ht="24.95" customHeight="1">
      <c r="A957" s="21" t="s">
        <v>994</v>
      </c>
      <c r="B957" s="8">
        <v>2057</v>
      </c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>
        <f>+Z958*2</f>
        <v>0</v>
      </c>
      <c r="AB957" s="8"/>
      <c r="AC957" s="8"/>
      <c r="AD957" s="8"/>
      <c r="AE957" s="8"/>
      <c r="AF957" s="8"/>
      <c r="AG957" s="8"/>
      <c r="AH957" s="8"/>
      <c r="AI957" s="8"/>
      <c r="AJ957" s="8">
        <v>2</v>
      </c>
      <c r="AK957" s="8">
        <f t="shared" si="49"/>
        <v>-2</v>
      </c>
      <c r="AL957" s="8">
        <f t="shared" si="50"/>
        <v>2055</v>
      </c>
      <c r="AM957" s="9"/>
    </row>
    <row r="958" spans="1:39" s="26" customFormat="1" ht="24.95" customHeight="1">
      <c r="A958" s="20" t="s">
        <v>995</v>
      </c>
      <c r="B958" s="8">
        <v>0</v>
      </c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>
        <f t="shared" si="49"/>
        <v>0</v>
      </c>
      <c r="AL958" s="8">
        <f t="shared" si="50"/>
        <v>0</v>
      </c>
      <c r="AM958" s="9"/>
    </row>
    <row r="959" spans="1:39" s="26" customFormat="1" ht="24.95" customHeight="1">
      <c r="A959" s="21" t="s">
        <v>996</v>
      </c>
      <c r="B959" s="8">
        <v>886</v>
      </c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>
        <f>+Z960*2</f>
        <v>0</v>
      </c>
      <c r="AB959" s="8"/>
      <c r="AC959" s="8"/>
      <c r="AD959" s="8"/>
      <c r="AE959" s="8"/>
      <c r="AF959" s="8"/>
      <c r="AG959" s="8"/>
      <c r="AH959" s="8"/>
      <c r="AI959" s="8"/>
      <c r="AJ959" s="8"/>
      <c r="AK959" s="8">
        <f t="shared" si="49"/>
        <v>0</v>
      </c>
      <c r="AL959" s="8">
        <f t="shared" si="50"/>
        <v>886</v>
      </c>
      <c r="AM959" s="9"/>
    </row>
    <row r="960" spans="1:39" s="26" customFormat="1" ht="24.95" customHeight="1">
      <c r="A960" s="20" t="s">
        <v>997</v>
      </c>
      <c r="B960" s="8">
        <v>0</v>
      </c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>
        <f t="shared" si="49"/>
        <v>0</v>
      </c>
      <c r="AL960" s="8">
        <f t="shared" si="50"/>
        <v>0</v>
      </c>
      <c r="AM960" s="9"/>
    </row>
    <row r="961" spans="1:39" s="26" customFormat="1" ht="24.95" customHeight="1">
      <c r="A961" s="21" t="s">
        <v>998</v>
      </c>
      <c r="B961" s="8">
        <v>1355</v>
      </c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>
        <f>+Z962*2</f>
        <v>0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8">
        <f t="shared" si="49"/>
        <v>0</v>
      </c>
      <c r="AL961" s="8">
        <f t="shared" si="50"/>
        <v>1355</v>
      </c>
      <c r="AM961" s="9"/>
    </row>
    <row r="962" spans="1:39" s="26" customFormat="1" ht="24.95" customHeight="1">
      <c r="A962" s="20" t="s">
        <v>999</v>
      </c>
      <c r="B962" s="8">
        <v>0</v>
      </c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>
        <f t="shared" si="49"/>
        <v>0</v>
      </c>
      <c r="AL962" s="8">
        <f t="shared" si="50"/>
        <v>0</v>
      </c>
      <c r="AM962" s="9"/>
    </row>
    <row r="963" spans="1:39" s="26" customFormat="1" ht="24.95" customHeight="1">
      <c r="A963" s="21" t="s">
        <v>1000</v>
      </c>
      <c r="B963" s="8">
        <v>7</v>
      </c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>
        <f t="shared" si="49"/>
        <v>0</v>
      </c>
      <c r="AL963" s="8">
        <f t="shared" si="50"/>
        <v>7</v>
      </c>
      <c r="AM963" s="9"/>
    </row>
    <row r="964" spans="1:39" s="26" customFormat="1" ht="24.95" customHeight="1">
      <c r="A964" s="21" t="s">
        <v>1001</v>
      </c>
      <c r="B964" s="8">
        <v>0</v>
      </c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>
        <f t="shared" si="49"/>
        <v>0</v>
      </c>
      <c r="AL964" s="8">
        <f t="shared" si="50"/>
        <v>0</v>
      </c>
      <c r="AM964" s="9"/>
    </row>
    <row r="965" spans="1:39" s="26" customFormat="1" ht="24.95" customHeight="1">
      <c r="A965" s="21" t="s">
        <v>1002</v>
      </c>
      <c r="B965" s="8">
        <v>0</v>
      </c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>
        <f t="shared" si="49"/>
        <v>0</v>
      </c>
      <c r="AL965" s="8">
        <f t="shared" si="50"/>
        <v>0</v>
      </c>
      <c r="AM965" s="9"/>
    </row>
    <row r="966" spans="1:39" s="26" customFormat="1" ht="24.95" customHeight="1">
      <c r="A966" s="21" t="s">
        <v>1003</v>
      </c>
      <c r="B966" s="8">
        <v>1084</v>
      </c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>
        <v>6</v>
      </c>
      <c r="S966" s="8"/>
      <c r="T966" s="8"/>
      <c r="U966" s="8"/>
      <c r="V966" s="8"/>
      <c r="W966" s="8"/>
      <c r="X966" s="8"/>
      <c r="Y966" s="8"/>
      <c r="Z966" s="8"/>
      <c r="AA966" s="8">
        <f>+Z967*2+Z968*3+Z969*4</f>
        <v>8</v>
      </c>
      <c r="AB966" s="8"/>
      <c r="AC966" s="8"/>
      <c r="AD966" s="8"/>
      <c r="AE966" s="8"/>
      <c r="AF966" s="8"/>
      <c r="AG966" s="8"/>
      <c r="AH966" s="8"/>
      <c r="AI966" s="8"/>
      <c r="AJ966" s="8">
        <v>5</v>
      </c>
      <c r="AK966" s="8">
        <f t="shared" si="49"/>
        <v>-19</v>
      </c>
      <c r="AL966" s="8">
        <f t="shared" si="50"/>
        <v>1065</v>
      </c>
      <c r="AM966" s="9"/>
    </row>
    <row r="967" spans="1:39" s="26" customFormat="1" ht="24.95" customHeight="1">
      <c r="A967" s="21" t="s">
        <v>1004</v>
      </c>
      <c r="B967" s="8">
        <v>0</v>
      </c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>
        <v>1</v>
      </c>
      <c r="S967" s="8"/>
      <c r="T967" s="8"/>
      <c r="U967" s="8"/>
      <c r="V967" s="8"/>
      <c r="W967" s="8"/>
      <c r="X967" s="8"/>
      <c r="Y967" s="8"/>
      <c r="Z967" s="8">
        <v>1</v>
      </c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>
        <f t="shared" si="49"/>
        <v>0</v>
      </c>
      <c r="AL967" s="8">
        <f t="shared" si="50"/>
        <v>0</v>
      </c>
      <c r="AM967" s="9"/>
    </row>
    <row r="968" spans="1:39" s="26" customFormat="1" ht="24.95" customHeight="1">
      <c r="A968" s="21" t="s">
        <v>1005</v>
      </c>
      <c r="B968" s="8">
        <v>0</v>
      </c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>
        <v>2</v>
      </c>
      <c r="S968" s="8"/>
      <c r="T968" s="8"/>
      <c r="U968" s="8"/>
      <c r="V968" s="8"/>
      <c r="W968" s="8"/>
      <c r="X968" s="8"/>
      <c r="Y968" s="8"/>
      <c r="Z968" s="8">
        <v>2</v>
      </c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>
        <f t="shared" si="49"/>
        <v>0</v>
      </c>
      <c r="AL968" s="8">
        <f t="shared" si="50"/>
        <v>0</v>
      </c>
      <c r="AM968" s="9"/>
    </row>
    <row r="969" spans="1:39" s="26" customFormat="1" ht="24.95" customHeight="1">
      <c r="A969" s="21" t="s">
        <v>1006</v>
      </c>
      <c r="B969" s="8">
        <v>0</v>
      </c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>
        <f t="shared" si="49"/>
        <v>0</v>
      </c>
      <c r="AL969" s="8">
        <f t="shared" si="50"/>
        <v>0</v>
      </c>
      <c r="AM969" s="9"/>
    </row>
    <row r="970" spans="1:39" s="26" customFormat="1" ht="24.95" customHeight="1">
      <c r="A970" s="7" t="s">
        <v>1007</v>
      </c>
      <c r="B970" s="8">
        <v>684</v>
      </c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>
        <f>+Z971*2+Z972*3+Z973*4</f>
        <v>178</v>
      </c>
      <c r="AB970" s="8"/>
      <c r="AC970" s="8"/>
      <c r="AD970" s="8"/>
      <c r="AE970" s="8"/>
      <c r="AF970" s="8"/>
      <c r="AG970" s="8"/>
      <c r="AH970" s="8"/>
      <c r="AI970" s="8"/>
      <c r="AJ970" s="8">
        <v>4</v>
      </c>
      <c r="AK970" s="8">
        <f t="shared" si="49"/>
        <v>-182</v>
      </c>
      <c r="AL970" s="8">
        <f t="shared" si="50"/>
        <v>502</v>
      </c>
      <c r="AM970" s="9"/>
    </row>
    <row r="971" spans="1:39" s="26" customFormat="1" ht="24.95" customHeight="1">
      <c r="A971" s="7" t="s">
        <v>1008</v>
      </c>
      <c r="B971" s="8">
        <v>0</v>
      </c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>
        <v>58</v>
      </c>
      <c r="S971" s="8"/>
      <c r="T971" s="8"/>
      <c r="U971" s="8"/>
      <c r="V971" s="8"/>
      <c r="W971" s="8"/>
      <c r="X971" s="8"/>
      <c r="Y971" s="8"/>
      <c r="Z971" s="8">
        <v>58</v>
      </c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>
        <f t="shared" si="49"/>
        <v>0</v>
      </c>
      <c r="AL971" s="8">
        <f t="shared" si="50"/>
        <v>0</v>
      </c>
      <c r="AM971" s="9"/>
    </row>
    <row r="972" spans="1:39" s="26" customFormat="1" ht="24.95" customHeight="1">
      <c r="A972" s="7" t="s">
        <v>1009</v>
      </c>
      <c r="B972" s="8">
        <v>0</v>
      </c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>
        <v>18</v>
      </c>
      <c r="S972" s="8"/>
      <c r="T972" s="8"/>
      <c r="U972" s="8"/>
      <c r="V972" s="8"/>
      <c r="W972" s="8"/>
      <c r="X972" s="8"/>
      <c r="Y972" s="8"/>
      <c r="Z972" s="8">
        <v>18</v>
      </c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>
        <f t="shared" si="49"/>
        <v>0</v>
      </c>
      <c r="AL972" s="8">
        <f t="shared" si="50"/>
        <v>0</v>
      </c>
      <c r="AM972" s="9"/>
    </row>
    <row r="973" spans="1:39" s="26" customFormat="1" ht="24.95" customHeight="1">
      <c r="A973" s="7" t="s">
        <v>1010</v>
      </c>
      <c r="B973" s="8">
        <v>0</v>
      </c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>
        <v>2</v>
      </c>
      <c r="AA973" s="8"/>
      <c r="AB973" s="8"/>
      <c r="AC973" s="8"/>
      <c r="AD973" s="8"/>
      <c r="AE973" s="8"/>
      <c r="AF973" s="8"/>
      <c r="AG973" s="8"/>
      <c r="AH973" s="8"/>
      <c r="AI973" s="8"/>
      <c r="AJ973" s="8">
        <v>2</v>
      </c>
      <c r="AK973" s="8">
        <f>SUM((D973+P973+G973+L973+S973+X973+Z973+AD973+M973+J973+V973+AB973+F973+AG973+O973+AI973)+(-N973-E973-R973-Q973-T973-Y973-AA973-AE973-AJ973-K973-I973-H973-U973-AC973-AF973-AH973-W973))</f>
        <v>0</v>
      </c>
      <c r="AL973" s="8">
        <f>B973+AK973</f>
        <v>0</v>
      </c>
      <c r="AM973" s="9"/>
    </row>
    <row r="974" spans="1:39" s="26" customFormat="1" ht="24.95" customHeight="1">
      <c r="A974" s="7" t="s">
        <v>1011</v>
      </c>
      <c r="B974" s="8">
        <v>184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>
        <f t="shared" si="49"/>
        <v>0</v>
      </c>
      <c r="AL974" s="8">
        <f t="shared" si="50"/>
        <v>184</v>
      </c>
      <c r="AM974" s="9"/>
    </row>
    <row r="975" spans="1:39" s="26" customFormat="1" ht="24.95" customHeight="1">
      <c r="A975" s="7" t="s">
        <v>1012</v>
      </c>
      <c r="B975" s="8">
        <v>402</v>
      </c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>
        <f>+Z976*2+Z977*3+Z978*4</f>
        <v>0</v>
      </c>
      <c r="AB975" s="8"/>
      <c r="AC975" s="8"/>
      <c r="AD975" s="8"/>
      <c r="AE975" s="8"/>
      <c r="AF975" s="8"/>
      <c r="AG975" s="8"/>
      <c r="AH975" s="8"/>
      <c r="AI975" s="8"/>
      <c r="AJ975" s="8"/>
      <c r="AK975" s="8">
        <f t="shared" si="49"/>
        <v>0</v>
      </c>
      <c r="AL975" s="8">
        <f t="shared" si="50"/>
        <v>402</v>
      </c>
      <c r="AM975" s="9"/>
    </row>
    <row r="976" spans="1:39" s="26" customFormat="1" ht="24.95" customHeight="1">
      <c r="A976" s="7" t="s">
        <v>1013</v>
      </c>
      <c r="B976" s="8">
        <v>449</v>
      </c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>
        <f t="shared" si="49"/>
        <v>0</v>
      </c>
      <c r="AL976" s="8">
        <f t="shared" si="50"/>
        <v>449</v>
      </c>
      <c r="AM976" s="9"/>
    </row>
    <row r="977" spans="1:39" s="26" customFormat="1" ht="24.95" customHeight="1">
      <c r="A977" s="7" t="s">
        <v>1014</v>
      </c>
      <c r="B977" s="8">
        <v>0</v>
      </c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>
        <f t="shared" si="49"/>
        <v>0</v>
      </c>
      <c r="AL977" s="8">
        <f t="shared" si="50"/>
        <v>0</v>
      </c>
      <c r="AM977" s="9"/>
    </row>
    <row r="978" spans="1:39" s="26" customFormat="1" ht="24.95" customHeight="1">
      <c r="A978" s="7" t="s">
        <v>1015</v>
      </c>
      <c r="B978" s="8">
        <v>0</v>
      </c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>
        <f t="shared" si="49"/>
        <v>0</v>
      </c>
      <c r="AL978" s="8">
        <f t="shared" si="50"/>
        <v>0</v>
      </c>
      <c r="AM978" s="9"/>
    </row>
    <row r="979" spans="1:39" s="26" customFormat="1" ht="24.95" customHeight="1">
      <c r="A979" s="7" t="s">
        <v>1016</v>
      </c>
      <c r="B979" s="8">
        <v>200</v>
      </c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>
        <f t="shared" si="49"/>
        <v>0</v>
      </c>
      <c r="AL979" s="8">
        <f t="shared" si="50"/>
        <v>200</v>
      </c>
      <c r="AM979" s="9"/>
    </row>
    <row r="980" spans="1:39" s="26" customFormat="1" ht="24.95" customHeight="1">
      <c r="A980" s="7" t="s">
        <v>1017</v>
      </c>
      <c r="B980" s="8">
        <v>341</v>
      </c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>
        <f>+Z981*2</f>
        <v>0</v>
      </c>
      <c r="AB980" s="8"/>
      <c r="AC980" s="8"/>
      <c r="AD980" s="8"/>
      <c r="AE980" s="8"/>
      <c r="AF980" s="8"/>
      <c r="AG980" s="8"/>
      <c r="AH980" s="8"/>
      <c r="AI980" s="8"/>
      <c r="AJ980" s="8"/>
      <c r="AK980" s="8">
        <f t="shared" si="49"/>
        <v>0</v>
      </c>
      <c r="AL980" s="8">
        <f t="shared" si="50"/>
        <v>341</v>
      </c>
      <c r="AM980" s="9"/>
    </row>
    <row r="981" spans="1:39" s="26" customFormat="1" ht="24.95" customHeight="1">
      <c r="A981" s="7" t="s">
        <v>1018</v>
      </c>
      <c r="B981" s="8">
        <v>26</v>
      </c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>
        <f t="shared" si="49"/>
        <v>0</v>
      </c>
      <c r="AL981" s="8">
        <f t="shared" si="50"/>
        <v>26</v>
      </c>
      <c r="AM981" s="9"/>
    </row>
    <row r="982" spans="1:39" s="26" customFormat="1" ht="24.95" customHeight="1">
      <c r="A982" s="7" t="s">
        <v>1019</v>
      </c>
      <c r="B982" s="8">
        <v>2</v>
      </c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>
        <f t="shared" si="49"/>
        <v>0</v>
      </c>
      <c r="AL982" s="8">
        <f t="shared" si="50"/>
        <v>2</v>
      </c>
      <c r="AM982" s="9"/>
    </row>
    <row r="983" spans="1:39" s="26" customFormat="1" ht="24.95" customHeight="1">
      <c r="A983" s="7" t="s">
        <v>1020</v>
      </c>
      <c r="B983" s="8">
        <v>1949</v>
      </c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>
        <f>+Z984*2+Z985*3</f>
        <v>0</v>
      </c>
      <c r="AB983" s="8"/>
      <c r="AC983" s="8"/>
      <c r="AD983" s="8"/>
      <c r="AE983" s="8"/>
      <c r="AF983" s="8"/>
      <c r="AG983" s="8"/>
      <c r="AH983" s="8"/>
      <c r="AI983" s="8"/>
      <c r="AJ983" s="8"/>
      <c r="AK983" s="8">
        <f t="shared" si="49"/>
        <v>0</v>
      </c>
      <c r="AL983" s="8">
        <f t="shared" si="50"/>
        <v>1949</v>
      </c>
      <c r="AM983" s="9"/>
    </row>
    <row r="984" spans="1:39" s="26" customFormat="1" ht="24.95" customHeight="1">
      <c r="A984" s="7" t="s">
        <v>1021</v>
      </c>
      <c r="B984" s="8">
        <v>0</v>
      </c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>
        <f t="shared" si="49"/>
        <v>0</v>
      </c>
      <c r="AL984" s="8">
        <f t="shared" si="50"/>
        <v>0</v>
      </c>
      <c r="AM984" s="9"/>
    </row>
    <row r="985" spans="1:39" s="26" customFormat="1" ht="24.95" customHeight="1">
      <c r="A985" s="7" t="s">
        <v>1022</v>
      </c>
      <c r="B985" s="8">
        <v>0</v>
      </c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>
        <f t="shared" si="49"/>
        <v>0</v>
      </c>
      <c r="AL985" s="8">
        <f t="shared" si="50"/>
        <v>0</v>
      </c>
      <c r="AM985" s="9"/>
    </row>
    <row r="986" spans="1:39" s="26" customFormat="1" ht="24.95" customHeight="1">
      <c r="A986" s="7" t="s">
        <v>1023</v>
      </c>
      <c r="B986" s="8">
        <v>8</v>
      </c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>
        <f t="shared" si="49"/>
        <v>0</v>
      </c>
      <c r="AL986" s="8">
        <f t="shared" si="50"/>
        <v>8</v>
      </c>
      <c r="AM986" s="9"/>
    </row>
    <row r="987" spans="1:39" s="26" customFormat="1" ht="24.95" customHeight="1">
      <c r="A987" s="7" t="s">
        <v>1024</v>
      </c>
      <c r="B987" s="8">
        <v>2524</v>
      </c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>
        <f t="shared" si="49"/>
        <v>0</v>
      </c>
      <c r="AL987" s="8">
        <f t="shared" si="50"/>
        <v>2524</v>
      </c>
      <c r="AM987" s="9"/>
    </row>
    <row r="988" spans="1:39" s="26" customFormat="1" ht="24.95" customHeight="1">
      <c r="A988" s="7" t="s">
        <v>1025</v>
      </c>
      <c r="B988" s="8">
        <v>0</v>
      </c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>
        <f t="shared" si="49"/>
        <v>0</v>
      </c>
      <c r="AL988" s="8">
        <f t="shared" si="50"/>
        <v>0</v>
      </c>
      <c r="AM988" s="9"/>
    </row>
    <row r="989" spans="1:39" s="26" customFormat="1" ht="24.95" customHeight="1">
      <c r="A989" s="7" t="s">
        <v>1026</v>
      </c>
      <c r="B989" s="8">
        <v>0</v>
      </c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>
        <f t="shared" si="49"/>
        <v>0</v>
      </c>
      <c r="AL989" s="8">
        <f t="shared" si="50"/>
        <v>0</v>
      </c>
      <c r="AM989" s="9"/>
    </row>
    <row r="990" spans="1:39" s="26" customFormat="1" ht="24.95" customHeight="1">
      <c r="A990" s="7" t="s">
        <v>1027</v>
      </c>
      <c r="B990" s="8">
        <v>840</v>
      </c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>
        <f>+Z991*2+Z992*3</f>
        <v>0</v>
      </c>
      <c r="AB990" s="8"/>
      <c r="AC990" s="8"/>
      <c r="AD990" s="8"/>
      <c r="AE990" s="8"/>
      <c r="AF990" s="8"/>
      <c r="AG990" s="8"/>
      <c r="AH990" s="8"/>
      <c r="AI990" s="8"/>
      <c r="AJ990" s="8"/>
      <c r="AK990" s="8">
        <f t="shared" si="49"/>
        <v>0</v>
      </c>
      <c r="AL990" s="8">
        <f t="shared" si="50"/>
        <v>840</v>
      </c>
      <c r="AM990" s="9"/>
    </row>
    <row r="991" spans="1:39" s="26" customFormat="1" ht="24.95" customHeight="1">
      <c r="A991" s="20" t="s">
        <v>1028</v>
      </c>
      <c r="B991" s="8">
        <v>0</v>
      </c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>
        <f t="shared" si="49"/>
        <v>0</v>
      </c>
      <c r="AL991" s="8">
        <f t="shared" si="50"/>
        <v>0</v>
      </c>
      <c r="AM991" s="9"/>
    </row>
    <row r="992" spans="1:39" s="26" customFormat="1" ht="24.95" customHeight="1">
      <c r="A992" s="20" t="s">
        <v>1029</v>
      </c>
      <c r="B992" s="8">
        <v>0</v>
      </c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>
        <f t="shared" si="49"/>
        <v>0</v>
      </c>
      <c r="AL992" s="8">
        <f t="shared" si="50"/>
        <v>0</v>
      </c>
      <c r="AM992" s="9"/>
    </row>
    <row r="993" spans="1:39" s="26" customFormat="1" ht="24.95" customHeight="1">
      <c r="A993" s="7" t="s">
        <v>1030</v>
      </c>
      <c r="B993" s="8">
        <v>1545</v>
      </c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>
        <f>+Z994*2+Z995*3</f>
        <v>0</v>
      </c>
      <c r="AB993" s="8"/>
      <c r="AC993" s="8"/>
      <c r="AD993" s="8"/>
      <c r="AE993" s="8"/>
      <c r="AF993" s="8"/>
      <c r="AG993" s="8"/>
      <c r="AH993" s="8"/>
      <c r="AI993" s="8"/>
      <c r="AJ993" s="8">
        <v>5</v>
      </c>
      <c r="AK993" s="8">
        <f t="shared" si="49"/>
        <v>-5</v>
      </c>
      <c r="AL993" s="8">
        <f t="shared" si="50"/>
        <v>1540</v>
      </c>
      <c r="AM993" s="9"/>
    </row>
    <row r="994" spans="1:39" s="26" customFormat="1" ht="24.95" customHeight="1">
      <c r="A994" s="7" t="s">
        <v>1031</v>
      </c>
      <c r="B994" s="8">
        <v>0</v>
      </c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>
        <f t="shared" si="49"/>
        <v>0</v>
      </c>
      <c r="AL994" s="8">
        <f t="shared" si="50"/>
        <v>0</v>
      </c>
      <c r="AM994" s="9"/>
    </row>
    <row r="995" spans="1:39" s="26" customFormat="1" ht="24.95" customHeight="1">
      <c r="A995" s="7" t="s">
        <v>1032</v>
      </c>
      <c r="B995" s="8">
        <v>0</v>
      </c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>
        <f t="shared" si="49"/>
        <v>0</v>
      </c>
      <c r="AL995" s="8">
        <f t="shared" si="50"/>
        <v>0</v>
      </c>
      <c r="AM995" s="9"/>
    </row>
    <row r="996" spans="1:39" s="26" customFormat="1" ht="24.95" customHeight="1">
      <c r="A996" s="7" t="s">
        <v>1033</v>
      </c>
      <c r="B996" s="8">
        <v>5691</v>
      </c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>
        <f>+Y997*2</f>
        <v>0</v>
      </c>
      <c r="Y996" s="8"/>
      <c r="Z996" s="8"/>
      <c r="AA996" s="8">
        <f>+Z997*2+Z998*3</f>
        <v>0</v>
      </c>
      <c r="AB996" s="8"/>
      <c r="AC996" s="8"/>
      <c r="AD996" s="8"/>
      <c r="AE996" s="8"/>
      <c r="AF996" s="8"/>
      <c r="AG996" s="8"/>
      <c r="AH996" s="8"/>
      <c r="AI996" s="8"/>
      <c r="AJ996" s="8">
        <v>240</v>
      </c>
      <c r="AK996" s="8">
        <f t="shared" si="49"/>
        <v>-240</v>
      </c>
      <c r="AL996" s="8">
        <f t="shared" si="50"/>
        <v>5451</v>
      </c>
      <c r="AM996" s="9"/>
    </row>
    <row r="997" spans="1:39" s="26" customFormat="1" ht="24.95" customHeight="1">
      <c r="A997" s="7" t="s">
        <v>1034</v>
      </c>
      <c r="B997" s="8">
        <v>638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>
        <f t="shared" si="49"/>
        <v>0</v>
      </c>
      <c r="AL997" s="8">
        <f t="shared" si="50"/>
        <v>638</v>
      </c>
      <c r="AM997" s="9"/>
    </row>
    <row r="998" spans="1:39" s="26" customFormat="1" ht="24.95" customHeight="1">
      <c r="A998" s="7" t="s">
        <v>1035</v>
      </c>
      <c r="B998" s="8">
        <v>0</v>
      </c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>
        <f t="shared" si="49"/>
        <v>0</v>
      </c>
      <c r="AL998" s="8">
        <f t="shared" si="50"/>
        <v>0</v>
      </c>
      <c r="AM998" s="9"/>
    </row>
    <row r="999" spans="1:39" s="26" customFormat="1" ht="24.95" customHeight="1">
      <c r="A999" s="7" t="s">
        <v>1036</v>
      </c>
      <c r="B999" s="8">
        <v>196</v>
      </c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>
        <f t="shared" si="49"/>
        <v>0</v>
      </c>
      <c r="AL999" s="8">
        <f t="shared" si="50"/>
        <v>196</v>
      </c>
      <c r="AM999" s="9"/>
    </row>
    <row r="1000" spans="1:39" s="26" customFormat="1" ht="24" customHeight="1">
      <c r="A1000" s="7" t="s">
        <v>1037</v>
      </c>
      <c r="B1000" s="8">
        <v>3026</v>
      </c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>
        <f>+Z1001*2+Z1002*3</f>
        <v>0</v>
      </c>
      <c r="AB1000" s="8"/>
      <c r="AC1000" s="8"/>
      <c r="AD1000" s="8"/>
      <c r="AE1000" s="8"/>
      <c r="AF1000" s="8"/>
      <c r="AG1000" s="8"/>
      <c r="AH1000" s="8"/>
      <c r="AI1000" s="8"/>
      <c r="AJ1000" s="8">
        <v>145</v>
      </c>
      <c r="AK1000" s="8">
        <f t="shared" si="49"/>
        <v>-145</v>
      </c>
      <c r="AL1000" s="8">
        <f t="shared" si="50"/>
        <v>2881</v>
      </c>
      <c r="AM1000" s="9"/>
    </row>
    <row r="1001" spans="1:39" s="26" customFormat="1" ht="24.95" customHeight="1">
      <c r="A1001" s="7" t="s">
        <v>1038</v>
      </c>
      <c r="B1001" s="8">
        <v>2100</v>
      </c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>
        <f t="shared" si="49"/>
        <v>0</v>
      </c>
      <c r="AL1001" s="8">
        <f t="shared" si="50"/>
        <v>2100</v>
      </c>
      <c r="AM1001" s="9"/>
    </row>
    <row r="1002" spans="1:39" s="26" customFormat="1" ht="24.95" customHeight="1">
      <c r="A1002" s="7" t="s">
        <v>1039</v>
      </c>
      <c r="B1002" s="8">
        <v>0</v>
      </c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>
        <f t="shared" si="49"/>
        <v>0</v>
      </c>
      <c r="AL1002" s="8">
        <f t="shared" si="50"/>
        <v>0</v>
      </c>
      <c r="AM1002" s="9"/>
    </row>
    <row r="1003" spans="1:39" s="26" customFormat="1" ht="24.95" customHeight="1">
      <c r="A1003" s="7" t="s">
        <v>1040</v>
      </c>
      <c r="B1003" s="8">
        <v>2899</v>
      </c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>
        <f>+Z1004*2</f>
        <v>0</v>
      </c>
      <c r="AB1003" s="8"/>
      <c r="AC1003" s="8"/>
      <c r="AD1003" s="8"/>
      <c r="AE1003" s="8"/>
      <c r="AF1003" s="8"/>
      <c r="AG1003" s="8"/>
      <c r="AH1003" s="8"/>
      <c r="AI1003" s="8"/>
      <c r="AJ1003" s="8"/>
      <c r="AK1003" s="8">
        <f t="shared" si="49"/>
        <v>0</v>
      </c>
      <c r="AL1003" s="8">
        <f t="shared" si="50"/>
        <v>2899</v>
      </c>
      <c r="AM1003" s="9"/>
    </row>
    <row r="1004" spans="1:39" s="26" customFormat="1" ht="24.95" customHeight="1">
      <c r="A1004" s="7" t="s">
        <v>1041</v>
      </c>
      <c r="B1004" s="8">
        <v>0</v>
      </c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>
        <f t="shared" si="49"/>
        <v>0</v>
      </c>
      <c r="AL1004" s="8">
        <f t="shared" si="50"/>
        <v>0</v>
      </c>
      <c r="AM1004" s="9"/>
    </row>
    <row r="1005" spans="1:39" s="26" customFormat="1" ht="24.95" customHeight="1">
      <c r="A1005" s="7" t="s">
        <v>1042</v>
      </c>
      <c r="B1005" s="8">
        <v>196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>
        <f t="shared" ref="AK1005:AK1073" si="51">SUM((D1005+P1005+G1005+L1005+S1005+X1005+Z1005+AD1005+M1005+J1005+V1005+AB1005+F1005+AG1005+O1005+AI1005)+(-N1005-E1005-R1005-Q1005-T1005-Y1005-AA1005-AE1005-AJ1005-K1005-I1005-H1005-U1005-AC1005-AF1005-AH1005-W1005))</f>
        <v>0</v>
      </c>
      <c r="AL1005" s="8">
        <f t="shared" ref="AL1005:AL1073" si="52">B1005+AK1005</f>
        <v>196</v>
      </c>
      <c r="AM1005" s="9"/>
    </row>
    <row r="1006" spans="1:39" s="26" customFormat="1" ht="24.95" customHeight="1">
      <c r="A1006" s="7" t="s">
        <v>1043</v>
      </c>
      <c r="B1006" s="8">
        <v>1108</v>
      </c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>
        <f>+Z1007*2+Z1008*3</f>
        <v>0</v>
      </c>
      <c r="AB1006" s="8"/>
      <c r="AC1006" s="8"/>
      <c r="AD1006" s="8"/>
      <c r="AE1006" s="8"/>
      <c r="AF1006" s="8"/>
      <c r="AG1006" s="8"/>
      <c r="AH1006" s="8"/>
      <c r="AI1006" s="8"/>
      <c r="AJ1006" s="8">
        <v>33</v>
      </c>
      <c r="AK1006" s="8">
        <f t="shared" si="51"/>
        <v>-33</v>
      </c>
      <c r="AL1006" s="8">
        <f t="shared" si="52"/>
        <v>1075</v>
      </c>
      <c r="AM1006" s="9"/>
    </row>
    <row r="1007" spans="1:39" s="26" customFormat="1" ht="24.95" customHeight="1">
      <c r="A1007" s="7" t="s">
        <v>1044</v>
      </c>
      <c r="B1007" s="8">
        <v>0</v>
      </c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>
        <f t="shared" si="51"/>
        <v>0</v>
      </c>
      <c r="AL1007" s="8">
        <f t="shared" si="52"/>
        <v>0</v>
      </c>
      <c r="AM1007" s="9"/>
    </row>
    <row r="1008" spans="1:39" s="26" customFormat="1" ht="24.95" customHeight="1">
      <c r="A1008" s="7" t="s">
        <v>1045</v>
      </c>
      <c r="B1008" s="8">
        <v>0</v>
      </c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>
        <f t="shared" si="51"/>
        <v>0</v>
      </c>
      <c r="AL1008" s="8">
        <f t="shared" si="52"/>
        <v>0</v>
      </c>
      <c r="AM1008" s="9"/>
    </row>
    <row r="1009" spans="1:39" s="26" customFormat="1" ht="24.95" customHeight="1">
      <c r="A1009" s="7" t="s">
        <v>1046</v>
      </c>
      <c r="B1009" s="8">
        <v>800</v>
      </c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>
        <f>+Z1010*2+Z1011*3</f>
        <v>0</v>
      </c>
      <c r="AB1009" s="8"/>
      <c r="AC1009" s="8"/>
      <c r="AD1009" s="8"/>
      <c r="AE1009" s="8"/>
      <c r="AF1009" s="8"/>
      <c r="AG1009" s="8"/>
      <c r="AH1009" s="8"/>
      <c r="AI1009" s="8"/>
      <c r="AJ1009" s="8"/>
      <c r="AK1009" s="8">
        <f t="shared" si="51"/>
        <v>0</v>
      </c>
      <c r="AL1009" s="8">
        <f t="shared" si="52"/>
        <v>800</v>
      </c>
      <c r="AM1009" s="9"/>
    </row>
    <row r="1010" spans="1:39" s="26" customFormat="1" ht="24.95" customHeight="1">
      <c r="A1010" s="7" t="s">
        <v>1047</v>
      </c>
      <c r="B1010" s="8">
        <v>1138</v>
      </c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>
        <f t="shared" si="51"/>
        <v>0</v>
      </c>
      <c r="AL1010" s="8">
        <f t="shared" si="52"/>
        <v>1138</v>
      </c>
      <c r="AM1010" s="9"/>
    </row>
    <row r="1011" spans="1:39" s="26" customFormat="1" ht="24.95" customHeight="1">
      <c r="A1011" s="7" t="s">
        <v>1048</v>
      </c>
      <c r="B1011" s="8">
        <v>0</v>
      </c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>
        <f t="shared" si="51"/>
        <v>0</v>
      </c>
      <c r="AL1011" s="8">
        <f t="shared" si="52"/>
        <v>0</v>
      </c>
      <c r="AM1011" s="9"/>
    </row>
    <row r="1012" spans="1:39" s="26" customFormat="1" ht="24.95" customHeight="1">
      <c r="A1012" s="7" t="s">
        <v>1049</v>
      </c>
      <c r="B1012" s="8">
        <v>1896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>
        <f>+Z1013*2+Z1014*3+Z1015*4</f>
        <v>3</v>
      </c>
      <c r="AB1012" s="8"/>
      <c r="AC1012" s="8"/>
      <c r="AD1012" s="8"/>
      <c r="AE1012" s="8"/>
      <c r="AF1012" s="8"/>
      <c r="AG1012" s="8"/>
      <c r="AH1012" s="8"/>
      <c r="AI1012" s="8"/>
      <c r="AJ1012" s="8">
        <v>5</v>
      </c>
      <c r="AK1012" s="8">
        <f t="shared" si="51"/>
        <v>-8</v>
      </c>
      <c r="AL1012" s="8">
        <f t="shared" si="52"/>
        <v>1888</v>
      </c>
      <c r="AM1012" s="9"/>
    </row>
    <row r="1013" spans="1:39" s="26" customFormat="1" ht="24.95" customHeight="1">
      <c r="A1013" s="7" t="s">
        <v>1050</v>
      </c>
      <c r="B1013" s="8">
        <v>0</v>
      </c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>
        <f t="shared" si="51"/>
        <v>0</v>
      </c>
      <c r="AL1013" s="8">
        <f t="shared" si="52"/>
        <v>0</v>
      </c>
      <c r="AM1013" s="9"/>
    </row>
    <row r="1014" spans="1:39" s="26" customFormat="1" ht="24.95" customHeight="1">
      <c r="A1014" s="7" t="s">
        <v>1051</v>
      </c>
      <c r="B1014" s="8">
        <v>0</v>
      </c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>
        <v>1</v>
      </c>
      <c r="S1014" s="8"/>
      <c r="T1014" s="8"/>
      <c r="U1014" s="8"/>
      <c r="V1014" s="8"/>
      <c r="W1014" s="8"/>
      <c r="X1014" s="8"/>
      <c r="Y1014" s="8"/>
      <c r="Z1014" s="8">
        <v>1</v>
      </c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>
        <f t="shared" si="51"/>
        <v>0</v>
      </c>
      <c r="AL1014" s="8">
        <f t="shared" si="52"/>
        <v>0</v>
      </c>
      <c r="AM1014" s="9"/>
    </row>
    <row r="1015" spans="1:39" s="26" customFormat="1" ht="24.95" customHeight="1">
      <c r="A1015" s="7" t="s">
        <v>1052</v>
      </c>
      <c r="B1015" s="8">
        <v>2</v>
      </c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>
        <f t="shared" si="51"/>
        <v>0</v>
      </c>
      <c r="AL1015" s="8">
        <f t="shared" si="52"/>
        <v>2</v>
      </c>
      <c r="AM1015" s="9"/>
    </row>
    <row r="1016" spans="1:39" s="26" customFormat="1" ht="24.95" customHeight="1">
      <c r="A1016" s="7" t="s">
        <v>1053</v>
      </c>
      <c r="B1016" s="8">
        <v>8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>
        <f t="shared" si="51"/>
        <v>0</v>
      </c>
      <c r="AL1016" s="8">
        <f t="shared" si="52"/>
        <v>8</v>
      </c>
      <c r="AM1016" s="9"/>
    </row>
    <row r="1017" spans="1:39" s="26" customFormat="1" ht="24.95" customHeight="1">
      <c r="A1017" s="7" t="s">
        <v>1054</v>
      </c>
      <c r="B1017" s="8">
        <v>29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>
        <f t="shared" si="51"/>
        <v>0</v>
      </c>
      <c r="AL1017" s="8">
        <f t="shared" si="52"/>
        <v>29</v>
      </c>
      <c r="AM1017" s="9"/>
    </row>
    <row r="1018" spans="1:39" s="26" customFormat="1" ht="24.95" customHeight="1">
      <c r="A1018" s="7" t="s">
        <v>1055</v>
      </c>
      <c r="B1018" s="8">
        <v>3085</v>
      </c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>
        <f>+Y1019*2+Y1020*3</f>
        <v>0</v>
      </c>
      <c r="Y1018" s="8"/>
      <c r="Z1018" s="8"/>
      <c r="AA1018" s="8">
        <f>+Z1019*2+Z1020*3</f>
        <v>0</v>
      </c>
      <c r="AB1018" s="8"/>
      <c r="AC1018" s="8"/>
      <c r="AD1018" s="8"/>
      <c r="AE1018" s="8"/>
      <c r="AF1018" s="8"/>
      <c r="AG1018" s="8"/>
      <c r="AH1018" s="8"/>
      <c r="AI1018" s="8"/>
      <c r="AJ1018" s="8">
        <v>5</v>
      </c>
      <c r="AK1018" s="8">
        <f t="shared" si="51"/>
        <v>-5</v>
      </c>
      <c r="AL1018" s="8">
        <f t="shared" si="52"/>
        <v>3080</v>
      </c>
      <c r="AM1018" s="9"/>
    </row>
    <row r="1019" spans="1:39" s="26" customFormat="1" ht="24.95" customHeight="1">
      <c r="A1019" s="7" t="s">
        <v>1056</v>
      </c>
      <c r="B1019" s="8">
        <v>0</v>
      </c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>
        <f t="shared" si="51"/>
        <v>0</v>
      </c>
      <c r="AL1019" s="8">
        <f t="shared" si="52"/>
        <v>0</v>
      </c>
      <c r="AM1019" s="9"/>
    </row>
    <row r="1020" spans="1:39" s="26" customFormat="1" ht="24.95" customHeight="1">
      <c r="A1020" s="7" t="s">
        <v>1057</v>
      </c>
      <c r="B1020" s="8">
        <v>0</v>
      </c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>
        <f t="shared" si="51"/>
        <v>0</v>
      </c>
      <c r="AL1020" s="8">
        <f t="shared" si="52"/>
        <v>0</v>
      </c>
      <c r="AM1020" s="9"/>
    </row>
    <row r="1021" spans="1:39" s="26" customFormat="1" ht="24.95" customHeight="1">
      <c r="A1021" s="7" t="s">
        <v>1058</v>
      </c>
      <c r="B1021" s="8">
        <v>98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>
        <f t="shared" si="51"/>
        <v>0</v>
      </c>
      <c r="AL1021" s="8">
        <f t="shared" si="52"/>
        <v>98</v>
      </c>
      <c r="AM1021" s="9"/>
    </row>
    <row r="1022" spans="1:39" s="26" customFormat="1" ht="24.95" customHeight="1">
      <c r="A1022" s="7" t="s">
        <v>1059</v>
      </c>
      <c r="B1022" s="8">
        <v>4946</v>
      </c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>
        <f>Z1023*2+Z1024*3+Z1025*4</f>
        <v>12</v>
      </c>
      <c r="AB1022" s="8"/>
      <c r="AC1022" s="8"/>
      <c r="AD1022" s="8"/>
      <c r="AE1022" s="8"/>
      <c r="AF1022" s="8"/>
      <c r="AG1022" s="8"/>
      <c r="AH1022" s="8"/>
      <c r="AI1022" s="8"/>
      <c r="AJ1022" s="8">
        <v>14</v>
      </c>
      <c r="AK1022" s="8">
        <f t="shared" si="51"/>
        <v>-26</v>
      </c>
      <c r="AL1022" s="8">
        <f t="shared" si="52"/>
        <v>4920</v>
      </c>
      <c r="AM1022" s="9"/>
    </row>
    <row r="1023" spans="1:39" s="26" customFormat="1" ht="24.95" customHeight="1">
      <c r="A1023" s="7" t="s">
        <v>1060</v>
      </c>
      <c r="B1023" s="8">
        <v>0</v>
      </c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>
        <f t="shared" si="51"/>
        <v>0</v>
      </c>
      <c r="AL1023" s="8">
        <f t="shared" si="52"/>
        <v>0</v>
      </c>
      <c r="AM1023" s="9"/>
    </row>
    <row r="1024" spans="1:39" s="26" customFormat="1" ht="24.95" customHeight="1">
      <c r="A1024" s="7" t="s">
        <v>1061</v>
      </c>
      <c r="B1024" s="8">
        <v>0</v>
      </c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>
        <v>4</v>
      </c>
      <c r="AA1024" s="8"/>
      <c r="AB1024" s="8"/>
      <c r="AC1024" s="8"/>
      <c r="AD1024" s="8"/>
      <c r="AE1024" s="8"/>
      <c r="AF1024" s="8"/>
      <c r="AG1024" s="8"/>
      <c r="AH1024" s="8"/>
      <c r="AI1024" s="8"/>
      <c r="AJ1024" s="8">
        <v>4</v>
      </c>
      <c r="AK1024" s="8">
        <f t="shared" si="51"/>
        <v>0</v>
      </c>
      <c r="AL1024" s="8">
        <f t="shared" si="52"/>
        <v>0</v>
      </c>
      <c r="AM1024" s="9"/>
    </row>
    <row r="1025" spans="1:39" s="26" customFormat="1" ht="24.95" customHeight="1">
      <c r="A1025" s="7" t="s">
        <v>1062</v>
      </c>
      <c r="B1025" s="8">
        <v>0</v>
      </c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>
        <f t="shared" si="51"/>
        <v>0</v>
      </c>
      <c r="AL1025" s="8">
        <f t="shared" si="52"/>
        <v>0</v>
      </c>
      <c r="AM1025" s="9"/>
    </row>
    <row r="1026" spans="1:39" s="26" customFormat="1" ht="24.95" customHeight="1">
      <c r="A1026" s="7" t="s">
        <v>1063</v>
      </c>
      <c r="B1026" s="8">
        <v>63</v>
      </c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>
        <f t="shared" si="51"/>
        <v>0</v>
      </c>
      <c r="AL1026" s="8">
        <f t="shared" si="52"/>
        <v>63</v>
      </c>
      <c r="AM1026" s="9"/>
    </row>
    <row r="1027" spans="1:39" s="26" customFormat="1" ht="24.95" customHeight="1">
      <c r="A1027" s="7" t="s">
        <v>1064</v>
      </c>
      <c r="B1027" s="8">
        <v>51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>
        <v>1</v>
      </c>
      <c r="AK1027" s="8">
        <f t="shared" si="51"/>
        <v>-1</v>
      </c>
      <c r="AL1027" s="8">
        <f t="shared" si="52"/>
        <v>50</v>
      </c>
      <c r="AM1027" s="9"/>
    </row>
    <row r="1028" spans="1:39" s="26" customFormat="1" ht="24.95" customHeight="1">
      <c r="A1028" s="7" t="s">
        <v>1065</v>
      </c>
      <c r="B1028" s="8">
        <v>5</v>
      </c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>
        <f t="shared" si="51"/>
        <v>0</v>
      </c>
      <c r="AL1028" s="8">
        <f t="shared" si="52"/>
        <v>5</v>
      </c>
      <c r="AM1028" s="9"/>
    </row>
    <row r="1029" spans="1:39" s="26" customFormat="1" ht="24.95" customHeight="1">
      <c r="A1029" s="7" t="s">
        <v>1066</v>
      </c>
      <c r="B1029" s="8">
        <v>2204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>
        <f>+Z1030*2+Z1031*3</f>
        <v>0</v>
      </c>
      <c r="AB1029" s="8"/>
      <c r="AC1029" s="8"/>
      <c r="AD1029" s="8"/>
      <c r="AE1029" s="8"/>
      <c r="AF1029" s="8"/>
      <c r="AG1029" s="8"/>
      <c r="AH1029" s="8"/>
      <c r="AI1029" s="8"/>
      <c r="AJ1029" s="8">
        <v>1</v>
      </c>
      <c r="AK1029" s="8">
        <f t="shared" si="51"/>
        <v>-1</v>
      </c>
      <c r="AL1029" s="8">
        <f t="shared" si="52"/>
        <v>2203</v>
      </c>
      <c r="AM1029" s="9"/>
    </row>
    <row r="1030" spans="1:39" s="26" customFormat="1" ht="24.95" customHeight="1">
      <c r="A1030" s="7" t="s">
        <v>1067</v>
      </c>
      <c r="B1030" s="8">
        <v>0</v>
      </c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>
        <f t="shared" si="51"/>
        <v>0</v>
      </c>
      <c r="AL1030" s="8">
        <f t="shared" si="52"/>
        <v>0</v>
      </c>
      <c r="AM1030" s="9"/>
    </row>
    <row r="1031" spans="1:39" s="26" customFormat="1" ht="24.95" customHeight="1">
      <c r="A1031" s="7" t="s">
        <v>1068</v>
      </c>
      <c r="B1031" s="8">
        <v>0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>
        <f t="shared" si="51"/>
        <v>0</v>
      </c>
      <c r="AL1031" s="8">
        <f t="shared" si="52"/>
        <v>0</v>
      </c>
      <c r="AM1031" s="9"/>
    </row>
    <row r="1032" spans="1:39" s="26" customFormat="1" ht="24.95" customHeight="1">
      <c r="A1032" s="7" t="s">
        <v>1069</v>
      </c>
      <c r="B1032" s="8">
        <v>4045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>
        <v>5</v>
      </c>
      <c r="S1032" s="8"/>
      <c r="T1032" s="8"/>
      <c r="U1032" s="8"/>
      <c r="V1032" s="8"/>
      <c r="W1032" s="8"/>
      <c r="X1032" s="8"/>
      <c r="Y1032" s="8"/>
      <c r="Z1032" s="8"/>
      <c r="AA1032" s="8">
        <f>+Z1033*2+Z1034*3+Z1035*4</f>
        <v>31</v>
      </c>
      <c r="AB1032" s="8"/>
      <c r="AC1032" s="8"/>
      <c r="AD1032" s="8"/>
      <c r="AE1032" s="8"/>
      <c r="AF1032" s="8"/>
      <c r="AG1032" s="8"/>
      <c r="AH1032" s="8"/>
      <c r="AI1032" s="8"/>
      <c r="AJ1032" s="8">
        <v>215</v>
      </c>
      <c r="AK1032" s="8">
        <f t="shared" si="51"/>
        <v>-251</v>
      </c>
      <c r="AL1032" s="8">
        <f t="shared" si="52"/>
        <v>3794</v>
      </c>
      <c r="AM1032" s="9"/>
    </row>
    <row r="1033" spans="1:39" s="26" customFormat="1" ht="24.95" customHeight="1">
      <c r="A1033" s="7" t="s">
        <v>1070</v>
      </c>
      <c r="B1033" s="8">
        <v>0</v>
      </c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>
        <v>7</v>
      </c>
      <c r="S1033" s="8"/>
      <c r="T1033" s="8"/>
      <c r="U1033" s="8"/>
      <c r="V1033" s="8"/>
      <c r="W1033" s="8"/>
      <c r="X1033" s="8"/>
      <c r="Y1033" s="8"/>
      <c r="Z1033" s="8">
        <v>7</v>
      </c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>
        <f t="shared" si="51"/>
        <v>0</v>
      </c>
      <c r="AL1033" s="8">
        <f t="shared" si="52"/>
        <v>0</v>
      </c>
      <c r="AM1033" s="9"/>
    </row>
    <row r="1034" spans="1:39" s="26" customFormat="1" ht="24.95" customHeight="1">
      <c r="A1034" s="7" t="s">
        <v>1071</v>
      </c>
      <c r="B1034" s="8">
        <v>0</v>
      </c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>
        <v>3</v>
      </c>
      <c r="S1034" s="8"/>
      <c r="T1034" s="8"/>
      <c r="U1034" s="8"/>
      <c r="V1034" s="8"/>
      <c r="W1034" s="8"/>
      <c r="X1034" s="8"/>
      <c r="Y1034" s="8"/>
      <c r="Z1034" s="8">
        <v>3</v>
      </c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>
        <f t="shared" si="51"/>
        <v>0</v>
      </c>
      <c r="AL1034" s="8">
        <f t="shared" si="52"/>
        <v>0</v>
      </c>
      <c r="AM1034" s="9"/>
    </row>
    <row r="1035" spans="1:39" s="26" customFormat="1" ht="24.95" customHeight="1">
      <c r="A1035" s="7" t="s">
        <v>1072</v>
      </c>
      <c r="B1035" s="8">
        <v>0</v>
      </c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>
        <v>2</v>
      </c>
      <c r="AA1035" s="8"/>
      <c r="AB1035" s="8"/>
      <c r="AC1035" s="8"/>
      <c r="AD1035" s="8"/>
      <c r="AE1035" s="8"/>
      <c r="AF1035" s="8"/>
      <c r="AG1035" s="8"/>
      <c r="AH1035" s="8"/>
      <c r="AI1035" s="8"/>
      <c r="AJ1035" s="8">
        <v>2</v>
      </c>
      <c r="AK1035" s="8">
        <f>SUM((D1035+P1035+G1035+L1035+S1035+X1035+Z1035+AD1035+M1035+J1035+V1035+AB1035+F1035+AG1035+O1035+AI1035)+(-N1035-E1035-R1035-Q1035-T1035-Y1035-AA1035-AE1035-AJ1035-K1035-I1035-H1035-U1035-AC1035-AF1035-AH1035-W1035))</f>
        <v>0</v>
      </c>
      <c r="AL1035" s="8">
        <f>B1035+AK1035</f>
        <v>0</v>
      </c>
      <c r="AM1035" s="9"/>
    </row>
    <row r="1036" spans="1:39" s="26" customFormat="1" ht="24.95" customHeight="1">
      <c r="A1036" s="7" t="s">
        <v>1073</v>
      </c>
      <c r="B1036" s="8">
        <v>0</v>
      </c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>
        <f t="shared" si="51"/>
        <v>0</v>
      </c>
      <c r="AL1036" s="8">
        <f t="shared" si="52"/>
        <v>0</v>
      </c>
      <c r="AM1036" s="9"/>
    </row>
    <row r="1037" spans="1:39" s="26" customFormat="1" ht="24.95" customHeight="1">
      <c r="A1037" s="7" t="s">
        <v>1074</v>
      </c>
      <c r="B1037" s="8">
        <v>2</v>
      </c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>
        <f>+Y1038*2</f>
        <v>0</v>
      </c>
      <c r="Y1037" s="8"/>
      <c r="Z1037" s="8"/>
      <c r="AA1037" s="8">
        <f>+Z1038*2</f>
        <v>0</v>
      </c>
      <c r="AB1037" s="8"/>
      <c r="AC1037" s="8"/>
      <c r="AD1037" s="8"/>
      <c r="AE1037" s="8"/>
      <c r="AF1037" s="8"/>
      <c r="AG1037" s="8"/>
      <c r="AH1037" s="8"/>
      <c r="AI1037" s="8"/>
      <c r="AJ1037" s="8"/>
      <c r="AK1037" s="8">
        <f t="shared" si="51"/>
        <v>0</v>
      </c>
      <c r="AL1037" s="8">
        <f t="shared" si="52"/>
        <v>2</v>
      </c>
      <c r="AM1037" s="9"/>
    </row>
    <row r="1038" spans="1:39" s="26" customFormat="1" ht="24.95" customHeight="1">
      <c r="A1038" s="7" t="s">
        <v>1075</v>
      </c>
      <c r="B1038" s="8">
        <v>0</v>
      </c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>
        <f t="shared" si="51"/>
        <v>0</v>
      </c>
      <c r="AL1038" s="8">
        <f t="shared" si="52"/>
        <v>0</v>
      </c>
      <c r="AM1038" s="9"/>
    </row>
    <row r="1039" spans="1:39" s="26" customFormat="1" ht="24.95" customHeight="1">
      <c r="A1039" s="7" t="s">
        <v>1076</v>
      </c>
      <c r="B1039" s="8">
        <v>93</v>
      </c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>
        <v>1</v>
      </c>
      <c r="AK1039" s="8">
        <f t="shared" si="51"/>
        <v>-1</v>
      </c>
      <c r="AL1039" s="8">
        <f t="shared" si="52"/>
        <v>92</v>
      </c>
      <c r="AM1039" s="9"/>
    </row>
    <row r="1040" spans="1:39" s="26" customFormat="1" ht="24.95" customHeight="1">
      <c r="A1040" s="7" t="s">
        <v>1077</v>
      </c>
      <c r="B1040" s="8">
        <v>2761</v>
      </c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>
        <f>+Z1041*2+Z1042*3</f>
        <v>0</v>
      </c>
      <c r="AB1040" s="8"/>
      <c r="AC1040" s="8"/>
      <c r="AD1040" s="8"/>
      <c r="AE1040" s="8"/>
      <c r="AF1040" s="8"/>
      <c r="AG1040" s="8"/>
      <c r="AH1040" s="8"/>
      <c r="AI1040" s="8"/>
      <c r="AJ1040" s="8">
        <v>1</v>
      </c>
      <c r="AK1040" s="8">
        <f t="shared" si="51"/>
        <v>-1</v>
      </c>
      <c r="AL1040" s="8">
        <f t="shared" si="52"/>
        <v>2760</v>
      </c>
      <c r="AM1040" s="9"/>
    </row>
    <row r="1041" spans="1:39" s="26" customFormat="1" ht="24.95" customHeight="1">
      <c r="A1041" s="7" t="s">
        <v>1078</v>
      </c>
      <c r="B1041" s="8">
        <v>0</v>
      </c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>
        <f t="shared" si="51"/>
        <v>0</v>
      </c>
      <c r="AL1041" s="8">
        <f t="shared" si="52"/>
        <v>0</v>
      </c>
      <c r="AM1041" s="9"/>
    </row>
    <row r="1042" spans="1:39" s="26" customFormat="1" ht="24.95" customHeight="1">
      <c r="A1042" s="7" t="s">
        <v>1079</v>
      </c>
      <c r="B1042" s="8">
        <v>0</v>
      </c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>
        <f t="shared" si="51"/>
        <v>0</v>
      </c>
      <c r="AL1042" s="8">
        <f t="shared" si="52"/>
        <v>0</v>
      </c>
      <c r="AM1042" s="9"/>
    </row>
    <row r="1043" spans="1:39" s="26" customFormat="1" ht="24.95" customHeight="1">
      <c r="A1043" s="7" t="s">
        <v>1080</v>
      </c>
      <c r="B1043" s="8">
        <v>0</v>
      </c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>
        <f t="shared" si="51"/>
        <v>0</v>
      </c>
      <c r="AL1043" s="8">
        <f t="shared" si="52"/>
        <v>0</v>
      </c>
      <c r="AM1043" s="9"/>
    </row>
    <row r="1044" spans="1:39" s="26" customFormat="1" ht="24.95" customHeight="1">
      <c r="A1044" s="7" t="s">
        <v>1081</v>
      </c>
      <c r="B1044" s="8">
        <v>704</v>
      </c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>
        <f>+Z1045*2+Z1046*3</f>
        <v>0</v>
      </c>
      <c r="AB1044" s="8"/>
      <c r="AC1044" s="8"/>
      <c r="AD1044" s="8"/>
      <c r="AE1044" s="8">
        <f>+AD1043</f>
        <v>0</v>
      </c>
      <c r="AF1044" s="8"/>
      <c r="AG1044" s="8"/>
      <c r="AH1044" s="8"/>
      <c r="AI1044" s="8"/>
      <c r="AJ1044" s="8"/>
      <c r="AK1044" s="8">
        <f t="shared" si="51"/>
        <v>0</v>
      </c>
      <c r="AL1044" s="8">
        <f t="shared" si="52"/>
        <v>704</v>
      </c>
      <c r="AM1044" s="9"/>
    </row>
    <row r="1045" spans="1:39" s="26" customFormat="1" ht="24.95" customHeight="1">
      <c r="A1045" s="7" t="s">
        <v>1082</v>
      </c>
      <c r="B1045" s="8">
        <v>484</v>
      </c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>
        <f t="shared" si="51"/>
        <v>0</v>
      </c>
      <c r="AL1045" s="8">
        <f t="shared" si="52"/>
        <v>484</v>
      </c>
      <c r="AM1045" s="9"/>
    </row>
    <row r="1046" spans="1:39" s="26" customFormat="1" ht="24.95" customHeight="1">
      <c r="A1046" s="7" t="s">
        <v>1083</v>
      </c>
      <c r="B1046" s="8">
        <v>0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>
        <f t="shared" si="51"/>
        <v>0</v>
      </c>
      <c r="AL1046" s="8">
        <f t="shared" si="52"/>
        <v>0</v>
      </c>
      <c r="AM1046" s="9"/>
    </row>
    <row r="1047" spans="1:39" s="26" customFormat="1" ht="24.95" customHeight="1">
      <c r="A1047" s="7" t="s">
        <v>1084</v>
      </c>
      <c r="B1047" s="8">
        <v>177</v>
      </c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>
        <f t="shared" si="51"/>
        <v>0</v>
      </c>
      <c r="AL1047" s="8">
        <f t="shared" si="52"/>
        <v>177</v>
      </c>
      <c r="AM1047" s="9"/>
    </row>
    <row r="1048" spans="1:39" s="26" customFormat="1" ht="24.95" customHeight="1">
      <c r="A1048" s="7" t="s">
        <v>1085</v>
      </c>
      <c r="B1048" s="8">
        <v>0</v>
      </c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>
        <f t="shared" si="51"/>
        <v>0</v>
      </c>
      <c r="AL1048" s="8">
        <f t="shared" si="52"/>
        <v>0</v>
      </c>
      <c r="AM1048" s="9"/>
    </row>
    <row r="1049" spans="1:39" s="26" customFormat="1" ht="24.95" customHeight="1">
      <c r="A1049" s="7" t="s">
        <v>1086</v>
      </c>
      <c r="B1049" s="8">
        <v>0</v>
      </c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>
        <f t="shared" si="51"/>
        <v>0</v>
      </c>
      <c r="AL1049" s="8">
        <f t="shared" si="52"/>
        <v>0</v>
      </c>
      <c r="AM1049" s="9"/>
    </row>
    <row r="1050" spans="1:39" s="26" customFormat="1" ht="24.95" customHeight="1">
      <c r="A1050" s="7" t="s">
        <v>1087</v>
      </c>
      <c r="B1050" s="8">
        <v>1247</v>
      </c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>
        <f>+Z1051*2+Z1052*3+Z1053*4</f>
        <v>0</v>
      </c>
      <c r="AB1050" s="8"/>
      <c r="AC1050" s="8"/>
      <c r="AD1050" s="8"/>
      <c r="AE1050" s="8">
        <f>+AD1049</f>
        <v>0</v>
      </c>
      <c r="AF1050" s="8"/>
      <c r="AG1050" s="8"/>
      <c r="AH1050" s="8"/>
      <c r="AI1050" s="8"/>
      <c r="AJ1050" s="8">
        <v>1</v>
      </c>
      <c r="AK1050" s="8">
        <f t="shared" si="51"/>
        <v>-1</v>
      </c>
      <c r="AL1050" s="8">
        <f t="shared" si="52"/>
        <v>1246</v>
      </c>
      <c r="AM1050" s="9"/>
    </row>
    <row r="1051" spans="1:39" s="26" customFormat="1" ht="24.95" customHeight="1">
      <c r="A1051" s="7" t="s">
        <v>1088</v>
      </c>
      <c r="B1051" s="8">
        <v>0</v>
      </c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>
        <f t="shared" si="51"/>
        <v>0</v>
      </c>
      <c r="AL1051" s="8">
        <f t="shared" si="52"/>
        <v>0</v>
      </c>
      <c r="AM1051" s="9"/>
    </row>
    <row r="1052" spans="1:39" s="26" customFormat="1" ht="24.95" customHeight="1">
      <c r="A1052" s="7" t="s">
        <v>1089</v>
      </c>
      <c r="B1052" s="8">
        <v>0</v>
      </c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>
        <f t="shared" si="51"/>
        <v>0</v>
      </c>
      <c r="AL1052" s="8">
        <f t="shared" si="52"/>
        <v>0</v>
      </c>
      <c r="AM1052" s="9"/>
    </row>
    <row r="1053" spans="1:39" s="26" customFormat="1" ht="24.95" customHeight="1">
      <c r="A1053" s="7" t="s">
        <v>1090</v>
      </c>
      <c r="B1053" s="8">
        <v>0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>
        <f t="shared" si="51"/>
        <v>0</v>
      </c>
      <c r="AL1053" s="8">
        <f t="shared" si="52"/>
        <v>0</v>
      </c>
      <c r="AM1053" s="9"/>
    </row>
    <row r="1054" spans="1:39" s="26" customFormat="1" ht="24.95" customHeight="1">
      <c r="A1054" s="7" t="s">
        <v>1091</v>
      </c>
      <c r="B1054" s="8">
        <v>2</v>
      </c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>
        <f t="shared" si="51"/>
        <v>0</v>
      </c>
      <c r="AL1054" s="8">
        <f t="shared" si="52"/>
        <v>2</v>
      </c>
      <c r="AM1054" s="9"/>
    </row>
    <row r="1055" spans="1:39" s="26" customFormat="1" ht="24.95" customHeight="1">
      <c r="A1055" s="7" t="s">
        <v>1092</v>
      </c>
      <c r="B1055" s="8">
        <v>0</v>
      </c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>
        <f t="shared" si="51"/>
        <v>0</v>
      </c>
      <c r="AL1055" s="8">
        <f t="shared" si="52"/>
        <v>0</v>
      </c>
      <c r="AM1055" s="9"/>
    </row>
    <row r="1056" spans="1:39" s="26" customFormat="1" ht="24.95" customHeight="1">
      <c r="A1056" s="7" t="s">
        <v>1093</v>
      </c>
      <c r="B1056" s="8">
        <v>3</v>
      </c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>
        <f t="shared" si="51"/>
        <v>0</v>
      </c>
      <c r="AL1056" s="8">
        <f t="shared" si="52"/>
        <v>3</v>
      </c>
      <c r="AM1056" s="9"/>
    </row>
    <row r="1057" spans="1:39" s="27" customFormat="1" ht="24.95" customHeight="1">
      <c r="A1057" s="9" t="s">
        <v>1094</v>
      </c>
      <c r="B1057" s="8">
        <v>3954</v>
      </c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>
        <v>5</v>
      </c>
      <c r="AK1057" s="8">
        <f t="shared" si="51"/>
        <v>-5</v>
      </c>
      <c r="AL1057" s="8">
        <f t="shared" si="52"/>
        <v>3949</v>
      </c>
      <c r="AM1057" s="9"/>
    </row>
    <row r="1058" spans="1:39" s="27" customFormat="1" ht="24.95" customHeight="1">
      <c r="A1058" s="9" t="s">
        <v>1095</v>
      </c>
      <c r="B1058" s="8">
        <v>21</v>
      </c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>
        <f t="shared" si="51"/>
        <v>0</v>
      </c>
      <c r="AL1058" s="8">
        <f t="shared" si="52"/>
        <v>21</v>
      </c>
      <c r="AM1058" s="9"/>
    </row>
    <row r="1059" spans="1:39" s="27" customFormat="1" ht="24.95" customHeight="1">
      <c r="A1059" s="9" t="s">
        <v>1096</v>
      </c>
      <c r="B1059" s="8">
        <v>0</v>
      </c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>
        <f>+Y1060*2+Y1061*3</f>
        <v>0</v>
      </c>
      <c r="Y1059" s="8"/>
      <c r="Z1059" s="8"/>
      <c r="AA1059" s="8">
        <f>+Z1060*2+Z1061*3</f>
        <v>0</v>
      </c>
      <c r="AB1059" s="8"/>
      <c r="AC1059" s="8"/>
      <c r="AD1059" s="8"/>
      <c r="AE1059" s="8"/>
      <c r="AF1059" s="8"/>
      <c r="AG1059" s="8"/>
      <c r="AH1059" s="8"/>
      <c r="AI1059" s="8"/>
      <c r="AJ1059" s="8"/>
      <c r="AK1059" s="8">
        <f t="shared" si="51"/>
        <v>0</v>
      </c>
      <c r="AL1059" s="8">
        <f t="shared" si="52"/>
        <v>0</v>
      </c>
      <c r="AM1059" s="9"/>
    </row>
    <row r="1060" spans="1:39" s="27" customFormat="1" ht="24.95" customHeight="1">
      <c r="A1060" s="9" t="s">
        <v>1097</v>
      </c>
      <c r="B1060" s="8">
        <v>0</v>
      </c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>
        <f t="shared" si="51"/>
        <v>0</v>
      </c>
      <c r="AL1060" s="8">
        <f t="shared" si="52"/>
        <v>0</v>
      </c>
      <c r="AM1060" s="9"/>
    </row>
    <row r="1061" spans="1:39" s="27" customFormat="1" ht="24.95" customHeight="1">
      <c r="A1061" s="9" t="s">
        <v>1098</v>
      </c>
      <c r="B1061" s="8">
        <v>0</v>
      </c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>
        <f t="shared" si="51"/>
        <v>0</v>
      </c>
      <c r="AL1061" s="8">
        <f t="shared" si="52"/>
        <v>0</v>
      </c>
      <c r="AM1061" s="9"/>
    </row>
    <row r="1062" spans="1:39" s="27" customFormat="1" ht="24.95" customHeight="1">
      <c r="A1062" s="9" t="s">
        <v>1099</v>
      </c>
      <c r="B1062" s="8">
        <v>42777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>
        <v>1621</v>
      </c>
      <c r="AK1062" s="8">
        <f t="shared" si="51"/>
        <v>-1621</v>
      </c>
      <c r="AL1062" s="8">
        <f t="shared" si="52"/>
        <v>41156</v>
      </c>
      <c r="AM1062" s="9"/>
    </row>
    <row r="1063" spans="1:39" s="27" customFormat="1" ht="24.95" customHeight="1">
      <c r="A1063" s="9" t="s">
        <v>1100</v>
      </c>
      <c r="B1063" s="8">
        <v>4500</v>
      </c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>
        <f t="shared" si="51"/>
        <v>0</v>
      </c>
      <c r="AL1063" s="8">
        <f t="shared" si="52"/>
        <v>4500</v>
      </c>
      <c r="AM1063" s="9"/>
    </row>
    <row r="1064" spans="1:39" s="8" customFormat="1" ht="24.95" customHeight="1">
      <c r="A1064" s="8" t="s">
        <v>1101</v>
      </c>
      <c r="B1064" s="8">
        <v>1220</v>
      </c>
      <c r="AK1064" s="8">
        <f t="shared" si="51"/>
        <v>0</v>
      </c>
      <c r="AL1064" s="8">
        <f t="shared" si="52"/>
        <v>1220</v>
      </c>
    </row>
    <row r="1065" spans="1:39" s="27" customFormat="1" ht="24.95" customHeight="1">
      <c r="A1065" s="9" t="s">
        <v>1102</v>
      </c>
      <c r="B1065" s="8">
        <v>3152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>
        <f>+Z1066*2+Z1067*3</f>
        <v>0</v>
      </c>
      <c r="AB1065" s="8"/>
      <c r="AC1065" s="8"/>
      <c r="AD1065" s="8"/>
      <c r="AE1065" s="8"/>
      <c r="AF1065" s="8"/>
      <c r="AG1065" s="8"/>
      <c r="AH1065" s="8"/>
      <c r="AI1065" s="8"/>
      <c r="AJ1065" s="8">
        <v>6</v>
      </c>
      <c r="AK1065" s="8">
        <f t="shared" si="51"/>
        <v>-6</v>
      </c>
      <c r="AL1065" s="8">
        <f t="shared" si="52"/>
        <v>3146</v>
      </c>
      <c r="AM1065" s="9"/>
    </row>
    <row r="1066" spans="1:39" s="27" customFormat="1" ht="24.95" customHeight="1">
      <c r="A1066" s="9" t="s">
        <v>1103</v>
      </c>
      <c r="B1066" s="8">
        <v>0</v>
      </c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>
        <f t="shared" si="51"/>
        <v>0</v>
      </c>
      <c r="AL1066" s="8">
        <f t="shared" si="52"/>
        <v>0</v>
      </c>
      <c r="AM1066" s="9"/>
    </row>
    <row r="1067" spans="1:39" s="27" customFormat="1" ht="24.95" customHeight="1">
      <c r="A1067" s="9" t="s">
        <v>1104</v>
      </c>
      <c r="B1067" s="8">
        <v>0</v>
      </c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>
        <f t="shared" si="51"/>
        <v>0</v>
      </c>
      <c r="AL1067" s="8">
        <f t="shared" si="52"/>
        <v>0</v>
      </c>
      <c r="AM1067" s="9"/>
    </row>
    <row r="1068" spans="1:39" s="27" customFormat="1" ht="24.95" customHeight="1">
      <c r="A1068" s="9" t="s">
        <v>1105</v>
      </c>
      <c r="B1068" s="8">
        <v>1532</v>
      </c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>
        <f>+Z1070*2+Z1071*3</f>
        <v>0</v>
      </c>
      <c r="AB1068" s="8"/>
      <c r="AC1068" s="8"/>
      <c r="AD1068" s="8"/>
      <c r="AE1068" s="8">
        <f>+AD1069</f>
        <v>0</v>
      </c>
      <c r="AF1068" s="8"/>
      <c r="AG1068" s="8"/>
      <c r="AH1068" s="8"/>
      <c r="AI1068" s="8"/>
      <c r="AJ1068" s="8">
        <v>541</v>
      </c>
      <c r="AK1068" s="8">
        <f t="shared" si="51"/>
        <v>-541</v>
      </c>
      <c r="AL1068" s="8">
        <f t="shared" si="52"/>
        <v>991</v>
      </c>
      <c r="AM1068" s="9"/>
    </row>
    <row r="1069" spans="1:39" s="27" customFormat="1" ht="24.95" customHeight="1">
      <c r="A1069" s="9" t="s">
        <v>1106</v>
      </c>
      <c r="B1069" s="8">
        <v>0</v>
      </c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>
        <f t="shared" si="51"/>
        <v>0</v>
      </c>
      <c r="AL1069" s="8">
        <f t="shared" si="52"/>
        <v>0</v>
      </c>
      <c r="AM1069" s="9"/>
    </row>
    <row r="1070" spans="1:39" s="27" customFormat="1" ht="24.95" customHeight="1">
      <c r="A1070" s="9" t="s">
        <v>1107</v>
      </c>
      <c r="B1070" s="8">
        <v>1228</v>
      </c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>
        <v>3</v>
      </c>
      <c r="AK1070" s="8">
        <f t="shared" si="51"/>
        <v>-3</v>
      </c>
      <c r="AL1070" s="8">
        <f t="shared" si="52"/>
        <v>1225</v>
      </c>
      <c r="AM1070" s="9"/>
    </row>
    <row r="1071" spans="1:39" s="27" customFormat="1" ht="24.95" customHeight="1">
      <c r="A1071" s="9" t="s">
        <v>1108</v>
      </c>
      <c r="B1071" s="8">
        <v>0</v>
      </c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>
        <f t="shared" si="51"/>
        <v>0</v>
      </c>
      <c r="AL1071" s="8">
        <f t="shared" si="52"/>
        <v>0</v>
      </c>
      <c r="AM1071" s="9"/>
    </row>
    <row r="1072" spans="1:39" s="27" customFormat="1" ht="24.95" customHeight="1">
      <c r="A1072" s="9" t="s">
        <v>1109</v>
      </c>
      <c r="B1072" s="8">
        <v>12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>
        <f t="shared" si="51"/>
        <v>0</v>
      </c>
      <c r="AL1072" s="8">
        <f t="shared" si="52"/>
        <v>12</v>
      </c>
      <c r="AM1072" s="9"/>
    </row>
    <row r="1073" spans="1:39" s="27" customFormat="1" ht="24.95" customHeight="1">
      <c r="A1073" s="9" t="s">
        <v>1110</v>
      </c>
      <c r="B1073" s="8">
        <v>7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>
        <f t="shared" si="51"/>
        <v>0</v>
      </c>
      <c r="AL1073" s="8">
        <f t="shared" si="52"/>
        <v>7</v>
      </c>
      <c r="AM1073" s="9"/>
    </row>
    <row r="1074" spans="1:39" s="27" customFormat="1" ht="24.95" customHeight="1">
      <c r="A1074" s="9" t="s">
        <v>1111</v>
      </c>
      <c r="B1074" s="8">
        <v>2890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>
        <v>7</v>
      </c>
      <c r="S1074" s="8"/>
      <c r="T1074" s="8"/>
      <c r="U1074" s="8"/>
      <c r="V1074" s="8"/>
      <c r="W1074" s="8"/>
      <c r="X1074" s="8"/>
      <c r="Y1074" s="8"/>
      <c r="Z1074" s="8"/>
      <c r="AA1074" s="8">
        <f>+Z1075*2+Z1076*3+Z1077*4</f>
        <v>0</v>
      </c>
      <c r="AB1074" s="8"/>
      <c r="AC1074" s="8"/>
      <c r="AD1074" s="8"/>
      <c r="AE1074" s="8"/>
      <c r="AF1074" s="8"/>
      <c r="AG1074" s="8"/>
      <c r="AH1074" s="8"/>
      <c r="AI1074" s="8"/>
      <c r="AJ1074" s="8">
        <v>5</v>
      </c>
      <c r="AK1074" s="8">
        <f t="shared" ref="AK1074:AK1141" si="53">SUM((D1074+P1074+G1074+L1074+S1074+X1074+Z1074+AD1074+M1074+J1074+V1074+AB1074+F1074+AG1074+O1074+AI1074)+(-N1074-E1074-R1074-Q1074-T1074-Y1074-AA1074-AE1074-AJ1074-K1074-I1074-H1074-U1074-AC1074-AF1074-AH1074-W1074))</f>
        <v>-12</v>
      </c>
      <c r="AL1074" s="8">
        <f t="shared" ref="AL1074:AL1141" si="54">B1074+AK1074</f>
        <v>2878</v>
      </c>
      <c r="AM1074" s="9"/>
    </row>
    <row r="1075" spans="1:39" s="27" customFormat="1" ht="24.95" customHeight="1">
      <c r="A1075" s="9" t="s">
        <v>1112</v>
      </c>
      <c r="B1075" s="8">
        <v>5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>
        <f t="shared" si="53"/>
        <v>0</v>
      </c>
      <c r="AL1075" s="8">
        <f t="shared" si="54"/>
        <v>5</v>
      </c>
      <c r="AM1075" s="9"/>
    </row>
    <row r="1076" spans="1:39" s="27" customFormat="1" ht="24.95" customHeight="1">
      <c r="A1076" s="9" t="s">
        <v>1113</v>
      </c>
      <c r="B1076" s="8">
        <v>0</v>
      </c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>
        <f t="shared" si="53"/>
        <v>0</v>
      </c>
      <c r="AL1076" s="8">
        <f t="shared" si="54"/>
        <v>0</v>
      </c>
      <c r="AM1076" s="9"/>
    </row>
    <row r="1077" spans="1:39" s="27" customFormat="1" ht="24.95" customHeight="1">
      <c r="A1077" s="9" t="s">
        <v>1114</v>
      </c>
      <c r="B1077" s="8">
        <v>0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>
        <f t="shared" si="53"/>
        <v>0</v>
      </c>
      <c r="AL1077" s="8">
        <f t="shared" si="54"/>
        <v>0</v>
      </c>
      <c r="AM1077" s="9"/>
    </row>
    <row r="1078" spans="1:39" s="27" customFormat="1" ht="24.95" customHeight="1">
      <c r="A1078" s="9" t="s">
        <v>1115</v>
      </c>
      <c r="B1078" s="8">
        <v>16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>
        <f t="shared" si="53"/>
        <v>0</v>
      </c>
      <c r="AL1078" s="8">
        <f t="shared" si="54"/>
        <v>16</v>
      </c>
      <c r="AM1078" s="9"/>
    </row>
    <row r="1079" spans="1:39" s="27" customFormat="1" ht="24.95" customHeight="1">
      <c r="A1079" s="9" t="s">
        <v>1116</v>
      </c>
      <c r="B1079" s="8">
        <v>0</v>
      </c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>
        <f t="shared" si="53"/>
        <v>0</v>
      </c>
      <c r="AL1079" s="8">
        <f t="shared" si="54"/>
        <v>0</v>
      </c>
      <c r="AM1079" s="9"/>
    </row>
    <row r="1080" spans="1:39" s="27" customFormat="1" ht="24.95" customHeight="1">
      <c r="A1080" s="9" t="s">
        <v>1117</v>
      </c>
      <c r="B1080" s="8">
        <v>0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>
        <f t="shared" si="53"/>
        <v>0</v>
      </c>
      <c r="AL1080" s="8">
        <f t="shared" si="54"/>
        <v>0</v>
      </c>
      <c r="AM1080" s="9"/>
    </row>
    <row r="1081" spans="1:39" s="27" customFormat="1" ht="24.95" customHeight="1">
      <c r="A1081" s="9" t="s">
        <v>1118</v>
      </c>
      <c r="B1081" s="8">
        <v>29</v>
      </c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>
        <f t="shared" si="53"/>
        <v>0</v>
      </c>
      <c r="AL1081" s="8">
        <f t="shared" si="54"/>
        <v>29</v>
      </c>
      <c r="AM1081" s="9"/>
    </row>
    <row r="1082" spans="1:39" s="27" customFormat="1" ht="24.95" customHeight="1">
      <c r="A1082" s="9" t="s">
        <v>1119</v>
      </c>
      <c r="B1082" s="8">
        <v>2</v>
      </c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>
        <f t="shared" si="53"/>
        <v>0</v>
      </c>
      <c r="AL1082" s="8">
        <f t="shared" si="54"/>
        <v>2</v>
      </c>
      <c r="AM1082" s="9"/>
    </row>
    <row r="1083" spans="1:39" s="27" customFormat="1" ht="24.95" customHeight="1">
      <c r="A1083" s="9" t="s">
        <v>1120</v>
      </c>
      <c r="B1083" s="8">
        <v>10</v>
      </c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>
        <f t="shared" si="53"/>
        <v>0</v>
      </c>
      <c r="AL1083" s="8">
        <f t="shared" si="54"/>
        <v>10</v>
      </c>
      <c r="AM1083" s="9"/>
    </row>
    <row r="1084" spans="1:39" s="27" customFormat="1" ht="24.95" customHeight="1">
      <c r="A1084" s="9" t="s">
        <v>1121</v>
      </c>
      <c r="B1084" s="8">
        <v>2</v>
      </c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>
        <f t="shared" si="53"/>
        <v>0</v>
      </c>
      <c r="AL1084" s="8">
        <f t="shared" si="54"/>
        <v>2</v>
      </c>
      <c r="AM1084" s="9"/>
    </row>
    <row r="1085" spans="1:39" s="27" customFormat="1" ht="24.95" customHeight="1">
      <c r="A1085" s="7" t="s">
        <v>1122</v>
      </c>
      <c r="B1085" s="8">
        <v>3519</v>
      </c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>
        <f>+Z1086*2+Z1087*3</f>
        <v>0</v>
      </c>
      <c r="AB1085" s="8"/>
      <c r="AC1085" s="8"/>
      <c r="AD1085" s="8"/>
      <c r="AE1085" s="8"/>
      <c r="AF1085" s="8"/>
      <c r="AG1085" s="8"/>
      <c r="AH1085" s="8"/>
      <c r="AI1085" s="8"/>
      <c r="AJ1085" s="8">
        <v>1</v>
      </c>
      <c r="AK1085" s="8">
        <f t="shared" si="53"/>
        <v>-1</v>
      </c>
      <c r="AL1085" s="8">
        <f t="shared" si="54"/>
        <v>3518</v>
      </c>
      <c r="AM1085" s="9"/>
    </row>
    <row r="1086" spans="1:39" s="27" customFormat="1" ht="24.95" customHeight="1">
      <c r="A1086" s="7" t="s">
        <v>1123</v>
      </c>
      <c r="B1086" s="8">
        <v>0</v>
      </c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>
        <f t="shared" si="53"/>
        <v>0</v>
      </c>
      <c r="AL1086" s="8">
        <f t="shared" si="54"/>
        <v>0</v>
      </c>
      <c r="AM1086" s="9"/>
    </row>
    <row r="1087" spans="1:39" s="27" customFormat="1" ht="24.95" customHeight="1">
      <c r="A1087" s="7" t="s">
        <v>1124</v>
      </c>
      <c r="B1087" s="8">
        <v>0</v>
      </c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>
        <f t="shared" si="53"/>
        <v>0</v>
      </c>
      <c r="AL1087" s="8">
        <f t="shared" si="54"/>
        <v>0</v>
      </c>
      <c r="AM1087" s="9"/>
    </row>
    <row r="1088" spans="1:39" s="27" customFormat="1" ht="24.95" customHeight="1">
      <c r="A1088" s="7" t="s">
        <v>1125</v>
      </c>
      <c r="B1088" s="8">
        <v>3014</v>
      </c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>
        <f>+Z1089*2+Z1090*3</f>
        <v>0</v>
      </c>
      <c r="AB1088" s="8"/>
      <c r="AC1088" s="8"/>
      <c r="AD1088" s="8"/>
      <c r="AE1088" s="8"/>
      <c r="AF1088" s="8"/>
      <c r="AG1088" s="8"/>
      <c r="AH1088" s="8"/>
      <c r="AI1088" s="8"/>
      <c r="AJ1088" s="8">
        <v>26</v>
      </c>
      <c r="AK1088" s="8">
        <f t="shared" si="53"/>
        <v>-26</v>
      </c>
      <c r="AL1088" s="8">
        <f t="shared" si="54"/>
        <v>2988</v>
      </c>
      <c r="AM1088" s="9"/>
    </row>
    <row r="1089" spans="1:39" s="27" customFormat="1" ht="24.95" customHeight="1">
      <c r="A1089" s="7" t="s">
        <v>1126</v>
      </c>
      <c r="B1089" s="8">
        <v>0</v>
      </c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>
        <f t="shared" si="53"/>
        <v>0</v>
      </c>
      <c r="AL1089" s="8">
        <f t="shared" si="54"/>
        <v>0</v>
      </c>
      <c r="AM1089" s="9"/>
    </row>
    <row r="1090" spans="1:39" s="27" customFormat="1" ht="24.95" customHeight="1">
      <c r="A1090" s="7" t="s">
        <v>1127</v>
      </c>
      <c r="B1090" s="8">
        <v>0</v>
      </c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>
        <f t="shared" si="53"/>
        <v>0</v>
      </c>
      <c r="AL1090" s="8">
        <f t="shared" si="54"/>
        <v>0</v>
      </c>
      <c r="AM1090" s="9"/>
    </row>
    <row r="1091" spans="1:39" s="27" customFormat="1" ht="24.95" customHeight="1">
      <c r="A1091" s="7" t="s">
        <v>1128</v>
      </c>
      <c r="B1091" s="8">
        <v>2977</v>
      </c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>
        <f>+Z1092*2+Z1093*3</f>
        <v>0</v>
      </c>
      <c r="AB1091" s="8"/>
      <c r="AC1091" s="8"/>
      <c r="AD1091" s="8"/>
      <c r="AE1091" s="8"/>
      <c r="AF1091" s="8"/>
      <c r="AG1091" s="8"/>
      <c r="AH1091" s="8"/>
      <c r="AI1091" s="8"/>
      <c r="AJ1091" s="8">
        <v>27</v>
      </c>
      <c r="AK1091" s="8">
        <f t="shared" si="53"/>
        <v>-27</v>
      </c>
      <c r="AL1091" s="8">
        <f t="shared" si="54"/>
        <v>2950</v>
      </c>
      <c r="AM1091" s="9"/>
    </row>
    <row r="1092" spans="1:39" s="27" customFormat="1" ht="24.95" customHeight="1">
      <c r="A1092" s="7" t="s">
        <v>1129</v>
      </c>
      <c r="B1092" s="8">
        <v>0</v>
      </c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>
        <f t="shared" si="53"/>
        <v>0</v>
      </c>
      <c r="AL1092" s="8">
        <f t="shared" si="54"/>
        <v>0</v>
      </c>
      <c r="AM1092" s="9"/>
    </row>
    <row r="1093" spans="1:39" s="27" customFormat="1" ht="24.95" customHeight="1">
      <c r="A1093" s="7" t="s">
        <v>1130</v>
      </c>
      <c r="B1093" s="8">
        <v>0</v>
      </c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>
        <f t="shared" si="53"/>
        <v>0</v>
      </c>
      <c r="AL1093" s="8">
        <f t="shared" si="54"/>
        <v>0</v>
      </c>
      <c r="AM1093" s="9"/>
    </row>
    <row r="1094" spans="1:39" s="27" customFormat="1" ht="24.95" customHeight="1">
      <c r="A1094" s="7" t="s">
        <v>1131</v>
      </c>
      <c r="B1094" s="8">
        <v>6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>
        <f t="shared" si="53"/>
        <v>0</v>
      </c>
      <c r="AL1094" s="8">
        <f t="shared" si="54"/>
        <v>6</v>
      </c>
      <c r="AM1094" s="9"/>
    </row>
    <row r="1095" spans="1:39" s="27" customFormat="1" ht="24.95" customHeight="1">
      <c r="A1095" s="7" t="s">
        <v>1132</v>
      </c>
      <c r="B1095" s="8">
        <v>4467</v>
      </c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>
        <f>Z1096*2</f>
        <v>0</v>
      </c>
      <c r="AB1095" s="8"/>
      <c r="AC1095" s="8"/>
      <c r="AD1095" s="8">
        <f>+N1095+R1095</f>
        <v>0</v>
      </c>
      <c r="AE1095" s="8">
        <f>+AD1095</f>
        <v>0</v>
      </c>
      <c r="AF1095" s="8"/>
      <c r="AG1095" s="8"/>
      <c r="AH1095" s="8"/>
      <c r="AI1095" s="8"/>
      <c r="AJ1095" s="8">
        <v>658</v>
      </c>
      <c r="AK1095" s="8">
        <f t="shared" si="53"/>
        <v>-658</v>
      </c>
      <c r="AL1095" s="8">
        <f t="shared" si="54"/>
        <v>3809</v>
      </c>
      <c r="AM1095" s="9"/>
    </row>
    <row r="1096" spans="1:39" s="27" customFormat="1" ht="24.95" customHeight="1">
      <c r="A1096" s="7" t="s">
        <v>1133</v>
      </c>
      <c r="B1096" s="8">
        <v>2000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>
        <f t="shared" si="53"/>
        <v>0</v>
      </c>
      <c r="AL1096" s="8">
        <f t="shared" si="54"/>
        <v>2000</v>
      </c>
      <c r="AM1096" s="9"/>
    </row>
    <row r="1097" spans="1:39" s="27" customFormat="1" ht="24.95" customHeight="1">
      <c r="A1097" s="7" t="s">
        <v>1134</v>
      </c>
      <c r="B1097" s="8">
        <v>14</v>
      </c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>
        <f t="shared" si="53"/>
        <v>0</v>
      </c>
      <c r="AL1097" s="8">
        <f t="shared" si="54"/>
        <v>14</v>
      </c>
      <c r="AM1097" s="9"/>
    </row>
    <row r="1098" spans="1:39" s="27" customFormat="1" ht="24.95" customHeight="1">
      <c r="A1098" s="7" t="s">
        <v>1135</v>
      </c>
      <c r="B1098" s="8">
        <v>200</v>
      </c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>
        <f t="shared" si="53"/>
        <v>0</v>
      </c>
      <c r="AL1098" s="8">
        <f t="shared" si="54"/>
        <v>200</v>
      </c>
      <c r="AM1098" s="9"/>
    </row>
    <row r="1099" spans="1:39" s="27" customFormat="1" ht="24.95" customHeight="1">
      <c r="A1099" s="7" t="s">
        <v>1136</v>
      </c>
      <c r="B1099" s="8">
        <v>8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>
        <f t="shared" si="53"/>
        <v>0</v>
      </c>
      <c r="AL1099" s="8">
        <f t="shared" si="54"/>
        <v>8</v>
      </c>
      <c r="AM1099" s="9"/>
    </row>
    <row r="1100" spans="1:39" s="27" customFormat="1" ht="24.95" customHeight="1">
      <c r="A1100" s="7" t="s">
        <v>1137</v>
      </c>
      <c r="B1100" s="8">
        <v>37</v>
      </c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>
        <f t="shared" si="53"/>
        <v>0</v>
      </c>
      <c r="AL1100" s="8">
        <f t="shared" si="54"/>
        <v>37</v>
      </c>
      <c r="AM1100" s="9"/>
    </row>
    <row r="1101" spans="1:39" s="27" customFormat="1" ht="24.95" customHeight="1">
      <c r="A1101" s="7" t="s">
        <v>1138</v>
      </c>
      <c r="B1101" s="8">
        <v>1823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>
        <f>+Z1102*2</f>
        <v>0</v>
      </c>
      <c r="AB1101" s="8"/>
      <c r="AC1101" s="8"/>
      <c r="AD1101" s="8"/>
      <c r="AE1101" s="8"/>
      <c r="AF1101" s="8"/>
      <c r="AG1101" s="8"/>
      <c r="AH1101" s="8"/>
      <c r="AI1101" s="8"/>
      <c r="AJ1101" s="8">
        <v>159</v>
      </c>
      <c r="AK1101" s="8">
        <f t="shared" si="53"/>
        <v>-159</v>
      </c>
      <c r="AL1101" s="8">
        <f t="shared" si="54"/>
        <v>1664</v>
      </c>
      <c r="AM1101" s="9"/>
    </row>
    <row r="1102" spans="1:39" s="27" customFormat="1" ht="24.95" customHeight="1">
      <c r="A1102" s="7" t="s">
        <v>1139</v>
      </c>
      <c r="B1102" s="8">
        <v>0</v>
      </c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>
        <f t="shared" si="53"/>
        <v>0</v>
      </c>
      <c r="AL1102" s="8">
        <f t="shared" si="54"/>
        <v>0</v>
      </c>
      <c r="AM1102" s="9"/>
    </row>
    <row r="1103" spans="1:39" s="27" customFormat="1" ht="24.95" customHeight="1">
      <c r="A1103" s="7" t="s">
        <v>1140</v>
      </c>
      <c r="B1103" s="8">
        <v>4183</v>
      </c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>
        <f>+Z1104*2+Z1105*3</f>
        <v>0</v>
      </c>
      <c r="AB1103" s="8"/>
      <c r="AC1103" s="8"/>
      <c r="AD1103" s="8"/>
      <c r="AE1103" s="8"/>
      <c r="AF1103" s="8"/>
      <c r="AG1103" s="8"/>
      <c r="AH1103" s="8"/>
      <c r="AI1103" s="8"/>
      <c r="AJ1103" s="8">
        <v>1</v>
      </c>
      <c r="AK1103" s="8">
        <f t="shared" si="53"/>
        <v>-1</v>
      </c>
      <c r="AL1103" s="8">
        <f t="shared" si="54"/>
        <v>4182</v>
      </c>
      <c r="AM1103" s="9"/>
    </row>
    <row r="1104" spans="1:39" s="27" customFormat="1" ht="24.95" customHeight="1">
      <c r="A1104" s="7" t="s">
        <v>1141</v>
      </c>
      <c r="B1104" s="8">
        <v>0</v>
      </c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>
        <f t="shared" si="53"/>
        <v>0</v>
      </c>
      <c r="AL1104" s="8">
        <f t="shared" si="54"/>
        <v>0</v>
      </c>
      <c r="AM1104" s="9"/>
    </row>
    <row r="1105" spans="1:39" s="27" customFormat="1" ht="24.95" customHeight="1">
      <c r="A1105" s="7" t="s">
        <v>1142</v>
      </c>
      <c r="B1105" s="8">
        <v>0</v>
      </c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>
        <f t="shared" si="53"/>
        <v>0</v>
      </c>
      <c r="AL1105" s="8">
        <f t="shared" si="54"/>
        <v>0</v>
      </c>
      <c r="AM1105" s="9"/>
    </row>
    <row r="1106" spans="1:39" s="26" customFormat="1" ht="24.95" customHeight="1">
      <c r="A1106" s="20" t="s">
        <v>1143</v>
      </c>
      <c r="B1106" s="8">
        <v>0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>
        <f t="shared" si="53"/>
        <v>0</v>
      </c>
      <c r="AL1106" s="8">
        <f t="shared" si="54"/>
        <v>0</v>
      </c>
      <c r="AM1106" s="20"/>
    </row>
    <row r="1107" spans="1:39" s="26" customFormat="1" ht="24.95" customHeight="1">
      <c r="A1107" s="20" t="s">
        <v>1144</v>
      </c>
      <c r="B1107" s="8">
        <v>2847</v>
      </c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>
        <f>+Z1108*2+Z1109*3</f>
        <v>0</v>
      </c>
      <c r="AB1107" s="8"/>
      <c r="AC1107" s="8"/>
      <c r="AD1107" s="8"/>
      <c r="AE1107" s="8"/>
      <c r="AF1107" s="8"/>
      <c r="AG1107" s="8"/>
      <c r="AH1107" s="8"/>
      <c r="AI1107" s="8"/>
      <c r="AJ1107" s="8">
        <v>4</v>
      </c>
      <c r="AK1107" s="8">
        <f t="shared" si="53"/>
        <v>-4</v>
      </c>
      <c r="AL1107" s="8">
        <f t="shared" si="54"/>
        <v>2843</v>
      </c>
      <c r="AM1107" s="20"/>
    </row>
    <row r="1108" spans="1:39" s="26" customFormat="1" ht="24.95" customHeight="1">
      <c r="A1108" s="20" t="s">
        <v>1145</v>
      </c>
      <c r="B1108" s="8">
        <v>0</v>
      </c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>
        <f t="shared" si="53"/>
        <v>0</v>
      </c>
      <c r="AL1108" s="8">
        <f t="shared" si="54"/>
        <v>0</v>
      </c>
      <c r="AM1108" s="20"/>
    </row>
    <row r="1109" spans="1:39" s="26" customFormat="1" ht="24.95" customHeight="1">
      <c r="A1109" s="20" t="s">
        <v>1146</v>
      </c>
      <c r="B1109" s="8">
        <v>0</v>
      </c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>
        <f t="shared" si="53"/>
        <v>0</v>
      </c>
      <c r="AL1109" s="8">
        <f t="shared" si="54"/>
        <v>0</v>
      </c>
      <c r="AM1109" s="20"/>
    </row>
    <row r="1110" spans="1:39" s="26" customFormat="1" ht="24.95" customHeight="1">
      <c r="A1110" s="20" t="s">
        <v>1147</v>
      </c>
      <c r="B1110" s="8">
        <v>3</v>
      </c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>
        <f t="shared" si="53"/>
        <v>0</v>
      </c>
      <c r="AL1110" s="8">
        <f t="shared" si="54"/>
        <v>3</v>
      </c>
      <c r="AM1110" s="20"/>
    </row>
    <row r="1111" spans="1:39" s="26" customFormat="1" ht="24.95" customHeight="1">
      <c r="A1111" s="20" t="s">
        <v>1148</v>
      </c>
      <c r="B1111" s="8">
        <v>1</v>
      </c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>
        <f t="shared" si="53"/>
        <v>0</v>
      </c>
      <c r="AL1111" s="8">
        <f t="shared" si="54"/>
        <v>1</v>
      </c>
      <c r="AM1111" s="20"/>
    </row>
    <row r="1112" spans="1:39" s="26" customFormat="1" ht="24.95" customHeight="1">
      <c r="A1112" s="20" t="s">
        <v>1149</v>
      </c>
      <c r="B1112" s="8">
        <v>966</v>
      </c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>
        <f t="shared" si="53"/>
        <v>0</v>
      </c>
      <c r="AL1112" s="8">
        <f t="shared" si="54"/>
        <v>966</v>
      </c>
      <c r="AM1112" s="20"/>
    </row>
    <row r="1113" spans="1:39" s="26" customFormat="1" ht="24.95" customHeight="1">
      <c r="A1113" s="20" t="s">
        <v>1150</v>
      </c>
      <c r="B1113" s="8">
        <v>5776</v>
      </c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>
        <f>+Z1114*2+Z1115*3</f>
        <v>10</v>
      </c>
      <c r="AB1113" s="8"/>
      <c r="AC1113" s="8"/>
      <c r="AD1113" s="8"/>
      <c r="AE1113" s="8"/>
      <c r="AF1113" s="8"/>
      <c r="AG1113" s="8"/>
      <c r="AH1113" s="8"/>
      <c r="AI1113" s="8"/>
      <c r="AJ1113" s="8">
        <v>184</v>
      </c>
      <c r="AK1113" s="8">
        <f t="shared" si="53"/>
        <v>-194</v>
      </c>
      <c r="AL1113" s="8">
        <f t="shared" si="54"/>
        <v>5582</v>
      </c>
      <c r="AM1113" s="20"/>
    </row>
    <row r="1114" spans="1:39" s="26" customFormat="1" ht="24.95" customHeight="1">
      <c r="A1114" s="20" t="s">
        <v>1151</v>
      </c>
      <c r="B1114" s="8">
        <v>0</v>
      </c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>
        <v>2</v>
      </c>
      <c r="AA1114" s="8"/>
      <c r="AB1114" s="8"/>
      <c r="AC1114" s="8"/>
      <c r="AD1114" s="8"/>
      <c r="AE1114" s="8"/>
      <c r="AF1114" s="8"/>
      <c r="AG1114" s="8"/>
      <c r="AH1114" s="8"/>
      <c r="AI1114" s="8"/>
      <c r="AJ1114" s="8">
        <v>2</v>
      </c>
      <c r="AK1114" s="8">
        <f t="shared" si="53"/>
        <v>0</v>
      </c>
      <c r="AL1114" s="8">
        <f t="shared" si="54"/>
        <v>0</v>
      </c>
      <c r="AM1114" s="20"/>
    </row>
    <row r="1115" spans="1:39" s="26" customFormat="1" ht="24.95" customHeight="1">
      <c r="A1115" s="20" t="s">
        <v>1152</v>
      </c>
      <c r="B1115" s="8">
        <v>0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>
        <v>2</v>
      </c>
      <c r="AA1115" s="8"/>
      <c r="AB1115" s="8"/>
      <c r="AC1115" s="8"/>
      <c r="AD1115" s="8"/>
      <c r="AE1115" s="8"/>
      <c r="AF1115" s="8"/>
      <c r="AG1115" s="8"/>
      <c r="AH1115" s="8"/>
      <c r="AI1115" s="8"/>
      <c r="AJ1115" s="8">
        <v>2</v>
      </c>
      <c r="AK1115" s="8">
        <f t="shared" si="53"/>
        <v>0</v>
      </c>
      <c r="AL1115" s="8">
        <f t="shared" si="54"/>
        <v>0</v>
      </c>
      <c r="AM1115" s="20"/>
    </row>
    <row r="1116" spans="1:39" s="26" customFormat="1" ht="24.95" customHeight="1">
      <c r="A1116" s="20" t="s">
        <v>1153</v>
      </c>
      <c r="B1116" s="8">
        <v>4</v>
      </c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>
        <f t="shared" si="53"/>
        <v>0</v>
      </c>
      <c r="AL1116" s="8">
        <f t="shared" si="54"/>
        <v>4</v>
      </c>
      <c r="AM1116" s="20"/>
    </row>
    <row r="1117" spans="1:39" s="26" customFormat="1" ht="24.95" customHeight="1">
      <c r="A1117" s="20" t="s">
        <v>1154</v>
      </c>
      <c r="B1117" s="8">
        <v>1487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>
        <v>46</v>
      </c>
      <c r="S1117" s="8"/>
      <c r="T1117" s="8"/>
      <c r="U1117" s="8"/>
      <c r="V1117" s="8"/>
      <c r="W1117" s="8"/>
      <c r="X1117" s="8"/>
      <c r="Y1117" s="8"/>
      <c r="Z1117" s="8"/>
      <c r="AA1117" s="8">
        <f>+Z1118*2+Z1119*3</f>
        <v>0</v>
      </c>
      <c r="AB1117" s="8"/>
      <c r="AC1117" s="8"/>
      <c r="AD1117" s="8"/>
      <c r="AE1117" s="8"/>
      <c r="AF1117" s="8"/>
      <c r="AG1117" s="8"/>
      <c r="AH1117" s="8"/>
      <c r="AI1117" s="8"/>
      <c r="AJ1117" s="8">
        <v>45</v>
      </c>
      <c r="AK1117" s="8">
        <f t="shared" si="53"/>
        <v>-91</v>
      </c>
      <c r="AL1117" s="8">
        <f t="shared" si="54"/>
        <v>1396</v>
      </c>
      <c r="AM1117" s="20"/>
    </row>
    <row r="1118" spans="1:39" s="26" customFormat="1" ht="24.95" customHeight="1">
      <c r="A1118" s="20" t="s">
        <v>1155</v>
      </c>
      <c r="B1118" s="8">
        <v>50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>
        <f t="shared" si="53"/>
        <v>0</v>
      </c>
      <c r="AL1118" s="8">
        <f t="shared" si="54"/>
        <v>50</v>
      </c>
      <c r="AM1118" s="20"/>
    </row>
    <row r="1119" spans="1:39" s="26" customFormat="1" ht="24.95" customHeight="1">
      <c r="A1119" s="20" t="s">
        <v>1156</v>
      </c>
      <c r="B1119" s="8">
        <v>20</v>
      </c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>
        <f t="shared" si="53"/>
        <v>0</v>
      </c>
      <c r="AL1119" s="8">
        <f t="shared" si="54"/>
        <v>20</v>
      </c>
      <c r="AM1119" s="20"/>
    </row>
    <row r="1120" spans="1:39" s="26" customFormat="1" ht="24.95" customHeight="1">
      <c r="A1120" s="20" t="s">
        <v>1157</v>
      </c>
      <c r="B1120" s="8">
        <v>1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>
        <f t="shared" si="53"/>
        <v>0</v>
      </c>
      <c r="AL1120" s="8">
        <f t="shared" si="54"/>
        <v>1</v>
      </c>
      <c r="AM1120" s="20"/>
    </row>
    <row r="1121" spans="1:39" s="26" customFormat="1" ht="24.95" customHeight="1">
      <c r="A1121" s="20" t="s">
        <v>1158</v>
      </c>
      <c r="B1121" s="8">
        <v>8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>
        <f t="shared" si="53"/>
        <v>0</v>
      </c>
      <c r="AL1121" s="8">
        <f t="shared" si="54"/>
        <v>8</v>
      </c>
      <c r="AM1121" s="20"/>
    </row>
    <row r="1122" spans="1:39" s="26" customFormat="1" ht="24.95" customHeight="1">
      <c r="A1122" s="20" t="s">
        <v>1159</v>
      </c>
      <c r="B1122" s="8">
        <v>3</v>
      </c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>
        <f t="shared" si="53"/>
        <v>0</v>
      </c>
      <c r="AL1122" s="8">
        <f t="shared" si="54"/>
        <v>3</v>
      </c>
      <c r="AM1122" s="20"/>
    </row>
    <row r="1123" spans="1:39" s="26" customFormat="1" ht="24.95" customHeight="1">
      <c r="A1123" s="20" t="s">
        <v>1160</v>
      </c>
      <c r="B1123" s="8">
        <v>3042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>
        <v>100</v>
      </c>
      <c r="S1123" s="8"/>
      <c r="T1123" s="8"/>
      <c r="U1123" s="8"/>
      <c r="V1123" s="8"/>
      <c r="W1123" s="8"/>
      <c r="X1123" s="8"/>
      <c r="Y1123" s="8"/>
      <c r="Z1123" s="8"/>
      <c r="AA1123" s="8">
        <f>+Z1124*2+Z1125*3</f>
        <v>0</v>
      </c>
      <c r="AB1123" s="8"/>
      <c r="AC1123" s="8"/>
      <c r="AD1123" s="8"/>
      <c r="AE1123" s="8"/>
      <c r="AF1123" s="8"/>
      <c r="AG1123" s="8"/>
      <c r="AH1123" s="8"/>
      <c r="AI1123" s="8"/>
      <c r="AJ1123" s="8">
        <v>193</v>
      </c>
      <c r="AK1123" s="8">
        <f t="shared" si="53"/>
        <v>-293</v>
      </c>
      <c r="AL1123" s="8">
        <f t="shared" si="54"/>
        <v>2749</v>
      </c>
      <c r="AM1123" s="20"/>
    </row>
    <row r="1124" spans="1:39" s="26" customFormat="1" ht="24.95" customHeight="1">
      <c r="A1124" s="20" t="s">
        <v>1161</v>
      </c>
      <c r="B1124" s="8">
        <v>1365</v>
      </c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>
        <f t="shared" si="53"/>
        <v>0</v>
      </c>
      <c r="AL1124" s="8">
        <f t="shared" si="54"/>
        <v>1365</v>
      </c>
      <c r="AM1124" s="20"/>
    </row>
    <row r="1125" spans="1:39" s="26" customFormat="1" ht="24.95" customHeight="1">
      <c r="A1125" s="20" t="s">
        <v>1162</v>
      </c>
      <c r="B1125" s="8">
        <v>608</v>
      </c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>
        <f t="shared" si="53"/>
        <v>0</v>
      </c>
      <c r="AL1125" s="8">
        <f t="shared" si="54"/>
        <v>608</v>
      </c>
      <c r="AM1125" s="20"/>
    </row>
    <row r="1126" spans="1:39" s="26" customFormat="1" ht="24.95" customHeight="1">
      <c r="A1126" s="20" t="s">
        <v>1163</v>
      </c>
      <c r="B1126" s="8">
        <v>0</v>
      </c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>
        <f t="shared" si="53"/>
        <v>0</v>
      </c>
      <c r="AL1126" s="8">
        <f t="shared" si="54"/>
        <v>0</v>
      </c>
      <c r="AM1126" s="20"/>
    </row>
    <row r="1127" spans="1:39" s="26" customFormat="1" ht="24.95" customHeight="1">
      <c r="A1127" s="20" t="s">
        <v>1164</v>
      </c>
      <c r="B1127" s="8">
        <v>3964</v>
      </c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>
        <f>+Z1128*2+Z1129*3</f>
        <v>0</v>
      </c>
      <c r="AB1127" s="8"/>
      <c r="AC1127" s="8"/>
      <c r="AD1127" s="8"/>
      <c r="AE1127" s="8"/>
      <c r="AF1127" s="8"/>
      <c r="AG1127" s="8"/>
      <c r="AH1127" s="8"/>
      <c r="AI1127" s="8"/>
      <c r="AJ1127" s="8"/>
      <c r="AK1127" s="8">
        <f t="shared" si="53"/>
        <v>0</v>
      </c>
      <c r="AL1127" s="8">
        <f t="shared" si="54"/>
        <v>3964</v>
      </c>
      <c r="AM1127" s="20"/>
    </row>
    <row r="1128" spans="1:39" s="26" customFormat="1" ht="24.95" customHeight="1">
      <c r="A1128" s="20" t="s">
        <v>1165</v>
      </c>
      <c r="B1128" s="8">
        <v>0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>
        <f t="shared" si="53"/>
        <v>0</v>
      </c>
      <c r="AL1128" s="8">
        <f t="shared" si="54"/>
        <v>0</v>
      </c>
      <c r="AM1128" s="20"/>
    </row>
    <row r="1129" spans="1:39" s="26" customFormat="1" ht="24.95" customHeight="1">
      <c r="A1129" s="20" t="s">
        <v>1166</v>
      </c>
      <c r="B1129" s="8">
        <v>0</v>
      </c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>
        <f t="shared" si="53"/>
        <v>0</v>
      </c>
      <c r="AL1129" s="8">
        <f t="shared" si="54"/>
        <v>0</v>
      </c>
      <c r="AM1129" s="20"/>
    </row>
    <row r="1130" spans="1:39" s="26" customFormat="1" ht="24.95" customHeight="1">
      <c r="A1130" s="7" t="s">
        <v>1167</v>
      </c>
      <c r="B1130" s="8">
        <v>15</v>
      </c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>
        <f t="shared" si="53"/>
        <v>0</v>
      </c>
      <c r="AL1130" s="8">
        <f t="shared" si="54"/>
        <v>15</v>
      </c>
      <c r="AM1130" s="20"/>
    </row>
    <row r="1131" spans="1:39" s="26" customFormat="1" ht="24.95" customHeight="1">
      <c r="A1131" s="7" t="s">
        <v>1168</v>
      </c>
      <c r="B1131" s="8">
        <v>1</v>
      </c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>
        <f t="shared" si="53"/>
        <v>0</v>
      </c>
      <c r="AL1131" s="8">
        <f t="shared" si="54"/>
        <v>1</v>
      </c>
      <c r="AM1131" s="20"/>
    </row>
    <row r="1132" spans="1:39" s="26" customFormat="1" ht="24.95" customHeight="1">
      <c r="A1132" s="7" t="s">
        <v>1169</v>
      </c>
      <c r="B1132" s="8">
        <v>4</v>
      </c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>
        <f t="shared" si="53"/>
        <v>0</v>
      </c>
      <c r="AL1132" s="8">
        <f t="shared" si="54"/>
        <v>4</v>
      </c>
      <c r="AM1132" s="20"/>
    </row>
    <row r="1133" spans="1:39" s="26" customFormat="1" ht="24.95" customHeight="1">
      <c r="A1133" s="7" t="s">
        <v>1170</v>
      </c>
      <c r="B1133" s="8">
        <v>0</v>
      </c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>
        <f t="shared" si="53"/>
        <v>0</v>
      </c>
      <c r="AL1133" s="8">
        <f t="shared" si="54"/>
        <v>0</v>
      </c>
      <c r="AM1133" s="20"/>
    </row>
    <row r="1134" spans="1:39" s="26" customFormat="1" ht="24.95" customHeight="1">
      <c r="A1134" s="7" t="s">
        <v>1171</v>
      </c>
      <c r="B1134" s="8">
        <v>2380</v>
      </c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>
        <f>+Z1135*2</f>
        <v>0</v>
      </c>
      <c r="AB1134" s="8"/>
      <c r="AC1134" s="8"/>
      <c r="AD1134" s="8"/>
      <c r="AE1134" s="8"/>
      <c r="AF1134" s="8"/>
      <c r="AG1134" s="8"/>
      <c r="AH1134" s="8"/>
      <c r="AI1134" s="8"/>
      <c r="AJ1134" s="8"/>
      <c r="AK1134" s="8">
        <f t="shared" si="53"/>
        <v>0</v>
      </c>
      <c r="AL1134" s="8">
        <f t="shared" si="54"/>
        <v>2380</v>
      </c>
      <c r="AM1134" s="20"/>
    </row>
    <row r="1135" spans="1:39" s="26" customFormat="1" ht="24.95" customHeight="1">
      <c r="A1135" s="7" t="s">
        <v>1172</v>
      </c>
      <c r="B1135" s="8">
        <v>0</v>
      </c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>
        <f t="shared" si="53"/>
        <v>0</v>
      </c>
      <c r="AL1135" s="8">
        <f t="shared" si="54"/>
        <v>0</v>
      </c>
      <c r="AM1135" s="20"/>
    </row>
    <row r="1136" spans="1:39" s="26" customFormat="1" ht="24.95" customHeight="1">
      <c r="A1136" s="7" t="s">
        <v>1173</v>
      </c>
      <c r="B1136" s="8">
        <v>70</v>
      </c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>
        <v>1</v>
      </c>
      <c r="AK1136" s="8">
        <f t="shared" si="53"/>
        <v>-1</v>
      </c>
      <c r="AL1136" s="8">
        <f t="shared" si="54"/>
        <v>69</v>
      </c>
      <c r="AM1136" s="20"/>
    </row>
    <row r="1137" spans="1:39" s="26" customFormat="1" ht="24.95" customHeight="1">
      <c r="A1137" s="7" t="s">
        <v>1174</v>
      </c>
      <c r="B1137" s="8">
        <v>3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>
        <f t="shared" si="53"/>
        <v>0</v>
      </c>
      <c r="AL1137" s="8">
        <f t="shared" si="54"/>
        <v>3</v>
      </c>
      <c r="AM1137" s="20"/>
    </row>
    <row r="1138" spans="1:39" s="26" customFormat="1" ht="24.95" customHeight="1">
      <c r="A1138" s="20" t="s">
        <v>1175</v>
      </c>
      <c r="B1138" s="8">
        <v>4515</v>
      </c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>
        <f>+Z1139*2+Z1140*3</f>
        <v>0</v>
      </c>
      <c r="AB1138" s="8"/>
      <c r="AC1138" s="8"/>
      <c r="AD1138" s="8"/>
      <c r="AE1138" s="8"/>
      <c r="AF1138" s="8"/>
      <c r="AG1138" s="8"/>
      <c r="AH1138" s="8"/>
      <c r="AI1138" s="8"/>
      <c r="AJ1138" s="8">
        <v>85</v>
      </c>
      <c r="AK1138" s="8">
        <f t="shared" si="53"/>
        <v>-85</v>
      </c>
      <c r="AL1138" s="8">
        <f t="shared" si="54"/>
        <v>4430</v>
      </c>
      <c r="AM1138" s="20"/>
    </row>
    <row r="1139" spans="1:39" s="26" customFormat="1" ht="24.95" customHeight="1">
      <c r="A1139" s="20" t="s">
        <v>1176</v>
      </c>
      <c r="B1139" s="8">
        <v>0</v>
      </c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>
        <f t="shared" si="53"/>
        <v>0</v>
      </c>
      <c r="AL1139" s="8">
        <f t="shared" si="54"/>
        <v>0</v>
      </c>
      <c r="AM1139" s="20"/>
    </row>
    <row r="1140" spans="1:39" s="28" customFormat="1" ht="24.95" customHeight="1">
      <c r="A1140" s="8" t="s">
        <v>1177</v>
      </c>
      <c r="B1140" s="8">
        <v>0</v>
      </c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>
        <f t="shared" si="53"/>
        <v>0</v>
      </c>
      <c r="AL1140" s="8">
        <f t="shared" si="54"/>
        <v>0</v>
      </c>
      <c r="AM1140" s="8"/>
    </row>
    <row r="1141" spans="1:39" s="26" customFormat="1" ht="24.95" customHeight="1">
      <c r="A1141" s="20" t="s">
        <v>1178</v>
      </c>
      <c r="B1141" s="8">
        <v>4142</v>
      </c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>
        <f>+Z1142*2+Z1143*3+Z1144*4</f>
        <v>0</v>
      </c>
      <c r="AB1141" s="8"/>
      <c r="AC1141" s="8"/>
      <c r="AD1141" s="8"/>
      <c r="AE1141" s="8"/>
      <c r="AF1141" s="8"/>
      <c r="AG1141" s="8"/>
      <c r="AH1141" s="8"/>
      <c r="AI1141" s="8"/>
      <c r="AJ1141" s="8">
        <v>7</v>
      </c>
      <c r="AK1141" s="8">
        <f t="shared" si="53"/>
        <v>-7</v>
      </c>
      <c r="AL1141" s="8">
        <f t="shared" si="54"/>
        <v>4135</v>
      </c>
      <c r="AM1141" s="20"/>
    </row>
    <row r="1142" spans="1:39" s="26" customFormat="1" ht="24.95" customHeight="1">
      <c r="A1142" s="20" t="s">
        <v>1179</v>
      </c>
      <c r="B1142" s="8">
        <v>0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>
        <f t="shared" ref="AK1142:AK1206" si="55">SUM((D1142+P1142+G1142+L1142+S1142+X1142+Z1142+AD1142+M1142+J1142+V1142+AB1142+F1142+AG1142+O1142+AI1142)+(-N1142-E1142-R1142-Q1142-T1142-Y1142-AA1142-AE1142-AJ1142-K1142-I1142-H1142-U1142-AC1142-AF1142-AH1142-W1142))</f>
        <v>0</v>
      </c>
      <c r="AL1142" s="8">
        <f t="shared" ref="AL1142:AL1206" si="56">B1142+AK1142</f>
        <v>0</v>
      </c>
      <c r="AM1142" s="20"/>
    </row>
    <row r="1143" spans="1:39" s="26" customFormat="1" ht="24.95" customHeight="1">
      <c r="A1143" s="20" t="s">
        <v>1180</v>
      </c>
      <c r="B1143" s="8">
        <v>0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>
        <f t="shared" si="55"/>
        <v>0</v>
      </c>
      <c r="AL1143" s="8">
        <f t="shared" si="56"/>
        <v>0</v>
      </c>
      <c r="AM1143" s="20"/>
    </row>
    <row r="1144" spans="1:39" s="26" customFormat="1" ht="24.95" customHeight="1">
      <c r="A1144" s="20" t="s">
        <v>1181</v>
      </c>
      <c r="B1144" s="8">
        <v>0</v>
      </c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>
        <f t="shared" si="55"/>
        <v>0</v>
      </c>
      <c r="AL1144" s="8">
        <f t="shared" si="56"/>
        <v>0</v>
      </c>
      <c r="AM1144" s="20"/>
    </row>
    <row r="1145" spans="1:39" s="26" customFormat="1" ht="24.95" customHeight="1">
      <c r="A1145" s="20" t="s">
        <v>1182</v>
      </c>
      <c r="B1145" s="8">
        <v>19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>
        <f t="shared" si="55"/>
        <v>0</v>
      </c>
      <c r="AL1145" s="8">
        <f t="shared" si="56"/>
        <v>19</v>
      </c>
      <c r="AM1145" s="20"/>
    </row>
    <row r="1146" spans="1:39" s="26" customFormat="1" ht="24.95" customHeight="1">
      <c r="A1146" s="20" t="s">
        <v>1183</v>
      </c>
      <c r="B1146" s="8">
        <v>5</v>
      </c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>
        <f t="shared" si="55"/>
        <v>0</v>
      </c>
      <c r="AL1146" s="8">
        <f t="shared" si="56"/>
        <v>5</v>
      </c>
      <c r="AM1146" s="20"/>
    </row>
    <row r="1147" spans="1:39" s="26" customFormat="1" ht="24.95" customHeight="1">
      <c r="A1147" s="20" t="s">
        <v>1184</v>
      </c>
      <c r="B1147" s="8">
        <v>1973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>
        <v>2000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>
        <f>+Z1148*2+Z1149*3+Z1150*4</f>
        <v>0</v>
      </c>
      <c r="AB1147" s="8"/>
      <c r="AC1147" s="8"/>
      <c r="AD1147" s="8"/>
      <c r="AE1147" s="8"/>
      <c r="AF1147" s="8"/>
      <c r="AG1147" s="8"/>
      <c r="AH1147" s="8"/>
      <c r="AI1147" s="8"/>
      <c r="AJ1147" s="8">
        <v>169</v>
      </c>
      <c r="AK1147" s="8">
        <f t="shared" si="55"/>
        <v>1831</v>
      </c>
      <c r="AL1147" s="8">
        <f t="shared" si="56"/>
        <v>3804</v>
      </c>
      <c r="AM1147" s="20"/>
    </row>
    <row r="1148" spans="1:39" s="26" customFormat="1" ht="24.95" customHeight="1">
      <c r="A1148" s="20" t="s">
        <v>1185</v>
      </c>
      <c r="B1148" s="8">
        <v>20</v>
      </c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>
        <f t="shared" si="55"/>
        <v>0</v>
      </c>
      <c r="AL1148" s="8">
        <f t="shared" si="56"/>
        <v>20</v>
      </c>
      <c r="AM1148" s="20"/>
    </row>
    <row r="1149" spans="1:39" s="26" customFormat="1" ht="24.95" customHeight="1">
      <c r="A1149" s="20" t="s">
        <v>1186</v>
      </c>
      <c r="B1149" s="8">
        <v>20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>
        <f t="shared" si="55"/>
        <v>0</v>
      </c>
      <c r="AL1149" s="8">
        <f t="shared" si="56"/>
        <v>20</v>
      </c>
      <c r="AM1149" s="20"/>
    </row>
    <row r="1150" spans="1:39" s="26" customFormat="1" ht="24.95" customHeight="1">
      <c r="A1150" s="20" t="s">
        <v>1187</v>
      </c>
      <c r="B1150" s="8">
        <v>10</v>
      </c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>
        <f t="shared" si="55"/>
        <v>0</v>
      </c>
      <c r="AL1150" s="8">
        <f t="shared" si="56"/>
        <v>10</v>
      </c>
      <c r="AM1150" s="20"/>
    </row>
    <row r="1151" spans="1:39" s="26" customFormat="1" ht="24.95" customHeight="1">
      <c r="A1151" s="20" t="s">
        <v>1188</v>
      </c>
      <c r="B1151" s="8">
        <v>1775</v>
      </c>
      <c r="C1151" s="8"/>
      <c r="D1151" s="8"/>
      <c r="E1151" s="8"/>
      <c r="F1151" s="8"/>
      <c r="G1151" s="8"/>
      <c r="H1151" s="8"/>
      <c r="I1151" s="8"/>
      <c r="J1151" s="8"/>
      <c r="K1151" s="8"/>
      <c r="L1151" s="8">
        <v>2000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>
        <f>+Z1152*2+Z1153*3+Z1154*4</f>
        <v>0</v>
      </c>
      <c r="AB1151" s="8"/>
      <c r="AC1151" s="8"/>
      <c r="AD1151" s="8"/>
      <c r="AE1151" s="8"/>
      <c r="AF1151" s="8"/>
      <c r="AG1151" s="8"/>
      <c r="AH1151" s="8"/>
      <c r="AI1151" s="8"/>
      <c r="AJ1151" s="8">
        <v>224</v>
      </c>
      <c r="AK1151" s="8">
        <f t="shared" si="55"/>
        <v>1776</v>
      </c>
      <c r="AL1151" s="8">
        <f t="shared" si="56"/>
        <v>3551</v>
      </c>
      <c r="AM1151" s="20"/>
    </row>
    <row r="1152" spans="1:39" s="26" customFormat="1" ht="24.95" customHeight="1">
      <c r="A1152" s="20" t="s">
        <v>1189</v>
      </c>
      <c r="B1152" s="8">
        <v>0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>
        <f t="shared" si="55"/>
        <v>0</v>
      </c>
      <c r="AL1152" s="8">
        <f t="shared" si="56"/>
        <v>0</v>
      </c>
      <c r="AM1152" s="20"/>
    </row>
    <row r="1153" spans="1:39" s="26" customFormat="1" ht="24.95" customHeight="1">
      <c r="A1153" s="20" t="s">
        <v>1190</v>
      </c>
      <c r="B1153" s="8">
        <v>0</v>
      </c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>
        <f t="shared" si="55"/>
        <v>0</v>
      </c>
      <c r="AL1153" s="8">
        <f t="shared" si="56"/>
        <v>0</v>
      </c>
      <c r="AM1153" s="20"/>
    </row>
    <row r="1154" spans="1:39" s="26" customFormat="1" ht="24.95" customHeight="1">
      <c r="A1154" s="20" t="s">
        <v>1191</v>
      </c>
      <c r="B1154" s="8">
        <v>0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>
        <f t="shared" si="55"/>
        <v>0</v>
      </c>
      <c r="AL1154" s="8">
        <f t="shared" si="56"/>
        <v>0</v>
      </c>
      <c r="AM1154" s="20"/>
    </row>
    <row r="1155" spans="1:39" s="26" customFormat="1" ht="24.95" customHeight="1">
      <c r="A1155" s="20" t="s">
        <v>1192</v>
      </c>
      <c r="B1155" s="8">
        <v>1773</v>
      </c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>
        <f>+Z1156*2+Z1157*3+Z1158*4</f>
        <v>0</v>
      </c>
      <c r="AB1155" s="8"/>
      <c r="AC1155" s="8"/>
      <c r="AD1155" s="8"/>
      <c r="AE1155" s="8"/>
      <c r="AF1155" s="8"/>
      <c r="AG1155" s="8"/>
      <c r="AH1155" s="8"/>
      <c r="AI1155" s="8"/>
      <c r="AJ1155" s="8">
        <v>25</v>
      </c>
      <c r="AK1155" s="8">
        <f t="shared" si="55"/>
        <v>-25</v>
      </c>
      <c r="AL1155" s="8">
        <f t="shared" si="56"/>
        <v>1748</v>
      </c>
      <c r="AM1155" s="20"/>
    </row>
    <row r="1156" spans="1:39" s="26" customFormat="1" ht="24.95" customHeight="1">
      <c r="A1156" s="20" t="s">
        <v>1193</v>
      </c>
      <c r="B1156" s="8">
        <v>0</v>
      </c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>
        <f t="shared" si="55"/>
        <v>0</v>
      </c>
      <c r="AL1156" s="8">
        <f t="shared" si="56"/>
        <v>0</v>
      </c>
      <c r="AM1156" s="20"/>
    </row>
    <row r="1157" spans="1:39" s="26" customFormat="1" ht="24.95" customHeight="1">
      <c r="A1157" s="20" t="s">
        <v>1194</v>
      </c>
      <c r="B1157" s="8">
        <v>0</v>
      </c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>
        <f t="shared" si="55"/>
        <v>0</v>
      </c>
      <c r="AL1157" s="8">
        <f t="shared" si="56"/>
        <v>0</v>
      </c>
      <c r="AM1157" s="20"/>
    </row>
    <row r="1158" spans="1:39" s="26" customFormat="1" ht="24.95" customHeight="1">
      <c r="A1158" s="20" t="s">
        <v>1195</v>
      </c>
      <c r="B1158" s="8">
        <v>0</v>
      </c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>
        <f t="shared" si="55"/>
        <v>0</v>
      </c>
      <c r="AL1158" s="8">
        <f t="shared" si="56"/>
        <v>0</v>
      </c>
      <c r="AM1158" s="20"/>
    </row>
    <row r="1159" spans="1:39" s="26" customFormat="1" ht="24.95" customHeight="1">
      <c r="A1159" s="23" t="s">
        <v>1196</v>
      </c>
      <c r="B1159" s="8">
        <v>2489</v>
      </c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>
        <f t="shared" si="55"/>
        <v>0</v>
      </c>
      <c r="AL1159" s="8">
        <f t="shared" si="56"/>
        <v>2489</v>
      </c>
      <c r="AM1159" s="20"/>
    </row>
    <row r="1160" spans="1:39" s="26" customFormat="1" ht="24.95" customHeight="1">
      <c r="A1160" s="20" t="s">
        <v>1197</v>
      </c>
      <c r="B1160" s="8">
        <v>2368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>
        <v>1</v>
      </c>
      <c r="AK1160" s="8">
        <f t="shared" si="55"/>
        <v>-1</v>
      </c>
      <c r="AL1160" s="8">
        <f t="shared" si="56"/>
        <v>2367</v>
      </c>
      <c r="AM1160" s="20"/>
    </row>
    <row r="1161" spans="1:39" s="26" customFormat="1" ht="24.95" customHeight="1">
      <c r="A1161" s="20" t="s">
        <v>1198</v>
      </c>
      <c r="B1161" s="8">
        <v>146</v>
      </c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>
        <v>2</v>
      </c>
      <c r="AK1161" s="8">
        <f t="shared" si="55"/>
        <v>-2</v>
      </c>
      <c r="AL1161" s="8">
        <f t="shared" si="56"/>
        <v>144</v>
      </c>
      <c r="AM1161" s="20"/>
    </row>
    <row r="1162" spans="1:39" s="26" customFormat="1" ht="24.95" customHeight="1">
      <c r="A1162" s="20" t="s">
        <v>1199</v>
      </c>
      <c r="B1162" s="8">
        <v>159</v>
      </c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>
        <f t="shared" si="55"/>
        <v>0</v>
      </c>
      <c r="AL1162" s="8">
        <f t="shared" si="56"/>
        <v>159</v>
      </c>
      <c r="AM1162" s="20"/>
    </row>
    <row r="1163" spans="1:39" s="26" customFormat="1" ht="24.95" customHeight="1">
      <c r="A1163" s="20" t="s">
        <v>1200</v>
      </c>
      <c r="B1163" s="8">
        <v>173</v>
      </c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>
        <f t="shared" si="55"/>
        <v>0</v>
      </c>
      <c r="AL1163" s="8">
        <f t="shared" si="56"/>
        <v>173</v>
      </c>
      <c r="AM1163" s="20"/>
    </row>
    <row r="1164" spans="1:39" s="26" customFormat="1" ht="24.95" customHeight="1">
      <c r="A1164" s="20" t="s">
        <v>1201</v>
      </c>
      <c r="B1164" s="8">
        <v>9798</v>
      </c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>
        <f t="shared" si="55"/>
        <v>0</v>
      </c>
      <c r="AL1164" s="8">
        <f t="shared" si="56"/>
        <v>9798</v>
      </c>
      <c r="AM1164" s="20"/>
    </row>
    <row r="1165" spans="1:39" s="26" customFormat="1" ht="24.95" customHeight="1">
      <c r="A1165" s="7" t="s">
        <v>1202</v>
      </c>
      <c r="B1165" s="8">
        <v>5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>
        <f t="shared" si="55"/>
        <v>0</v>
      </c>
      <c r="AL1165" s="8">
        <f t="shared" si="56"/>
        <v>5</v>
      </c>
      <c r="AM1165" s="20"/>
    </row>
    <row r="1166" spans="1:39" s="26" customFormat="1" ht="24.95" customHeight="1">
      <c r="A1166" s="7" t="s">
        <v>1203</v>
      </c>
      <c r="B1166" s="8">
        <v>3</v>
      </c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>
        <f t="shared" si="55"/>
        <v>0</v>
      </c>
      <c r="AL1166" s="8">
        <f t="shared" si="56"/>
        <v>3</v>
      </c>
      <c r="AM1166" s="20"/>
    </row>
    <row r="1167" spans="1:39" s="26" customFormat="1" ht="24.95" customHeight="1">
      <c r="A1167" s="7" t="s">
        <v>1204</v>
      </c>
      <c r="B1167" s="8">
        <v>60</v>
      </c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>
        <v>4</v>
      </c>
      <c r="AK1167" s="8">
        <f t="shared" si="55"/>
        <v>-4</v>
      </c>
      <c r="AL1167" s="8">
        <f t="shared" si="56"/>
        <v>56</v>
      </c>
      <c r="AM1167" s="20"/>
    </row>
    <row r="1168" spans="1:39" s="26" customFormat="1" ht="24.95" customHeight="1">
      <c r="A1168" s="7" t="s">
        <v>1205</v>
      </c>
      <c r="B1168" s="8">
        <v>48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>
        <f t="shared" si="55"/>
        <v>0</v>
      </c>
      <c r="AL1168" s="8">
        <f t="shared" si="56"/>
        <v>48</v>
      </c>
      <c r="AM1168" s="20"/>
    </row>
    <row r="1169" spans="1:39" s="26" customFormat="1" ht="24.95" customHeight="1">
      <c r="A1169" s="7" t="s">
        <v>1206</v>
      </c>
      <c r="B1169" s="8">
        <v>1254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>
        <v>510</v>
      </c>
      <c r="AK1169" s="8">
        <f t="shared" si="55"/>
        <v>-510</v>
      </c>
      <c r="AL1169" s="8">
        <f t="shared" si="56"/>
        <v>744</v>
      </c>
      <c r="AM1169" s="20"/>
    </row>
    <row r="1170" spans="1:39" s="26" customFormat="1" ht="24.95" customHeight="1">
      <c r="A1170" s="7" t="s">
        <v>1207</v>
      </c>
      <c r="B1170" s="8">
        <v>3465</v>
      </c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>
        <v>387</v>
      </c>
      <c r="AK1170" s="8">
        <f t="shared" si="55"/>
        <v>-387</v>
      </c>
      <c r="AL1170" s="8">
        <f t="shared" si="56"/>
        <v>3078</v>
      </c>
      <c r="AM1170" s="20"/>
    </row>
    <row r="1171" spans="1:39" s="26" customFormat="1" ht="24.95" customHeight="1">
      <c r="A1171" s="7" t="s">
        <v>1208</v>
      </c>
      <c r="B1171" s="8">
        <v>1763</v>
      </c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>
        <v>1</v>
      </c>
      <c r="AK1171" s="8">
        <f t="shared" si="55"/>
        <v>-1</v>
      </c>
      <c r="AL1171" s="8">
        <f t="shared" si="56"/>
        <v>1762</v>
      </c>
      <c r="AM1171" s="20"/>
    </row>
    <row r="1172" spans="1:39" s="26" customFormat="1" ht="24.95" customHeight="1">
      <c r="A1172" s="7" t="s">
        <v>1209</v>
      </c>
      <c r="B1172" s="8">
        <v>89</v>
      </c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>
        <f t="shared" si="55"/>
        <v>0</v>
      </c>
      <c r="AL1172" s="8">
        <f t="shared" si="56"/>
        <v>89</v>
      </c>
      <c r="AM1172" s="20"/>
    </row>
    <row r="1173" spans="1:39" s="26" customFormat="1" ht="24.95" customHeight="1">
      <c r="A1173" s="7" t="s">
        <v>1210</v>
      </c>
      <c r="B1173" s="8">
        <v>2844</v>
      </c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>
        <v>137</v>
      </c>
      <c r="AK1173" s="8">
        <f t="shared" si="55"/>
        <v>-137</v>
      </c>
      <c r="AL1173" s="8">
        <f t="shared" si="56"/>
        <v>2707</v>
      </c>
      <c r="AM1173" s="20"/>
    </row>
    <row r="1174" spans="1:39" s="26" customFormat="1" ht="24.95" customHeight="1">
      <c r="A1174" s="7" t="s">
        <v>1211</v>
      </c>
      <c r="B1174" s="8">
        <v>2317</v>
      </c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>
        <v>165</v>
      </c>
      <c r="AK1174" s="8">
        <f t="shared" si="55"/>
        <v>-165</v>
      </c>
      <c r="AL1174" s="8">
        <f t="shared" si="56"/>
        <v>2152</v>
      </c>
      <c r="AM1174" s="20"/>
    </row>
    <row r="1175" spans="1:39" s="26" customFormat="1" ht="24.95" customHeight="1">
      <c r="A1175" s="7" t="s">
        <v>1212</v>
      </c>
      <c r="B1175" s="8">
        <v>1624</v>
      </c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>
        <f t="shared" si="55"/>
        <v>0</v>
      </c>
      <c r="AL1175" s="8">
        <f t="shared" si="56"/>
        <v>1624</v>
      </c>
      <c r="AM1175" s="20"/>
    </row>
    <row r="1176" spans="1:39" s="26" customFormat="1" ht="24.95" customHeight="1">
      <c r="A1176" s="7" t="s">
        <v>1213</v>
      </c>
      <c r="B1176" s="8">
        <v>71</v>
      </c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>
        <f t="shared" si="55"/>
        <v>0</v>
      </c>
      <c r="AL1176" s="8">
        <f t="shared" si="56"/>
        <v>71</v>
      </c>
      <c r="AM1176" s="20"/>
    </row>
    <row r="1177" spans="1:39" s="26" customFormat="1" ht="24.95" customHeight="1">
      <c r="A1177" s="7" t="s">
        <v>1214</v>
      </c>
      <c r="B1177" s="8">
        <v>6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>
        <f t="shared" si="55"/>
        <v>0</v>
      </c>
      <c r="AL1177" s="8">
        <f t="shared" si="56"/>
        <v>6</v>
      </c>
      <c r="AM1177" s="20"/>
    </row>
    <row r="1178" spans="1:39" s="26" customFormat="1" ht="24.95" customHeight="1">
      <c r="A1178" s="7" t="s">
        <v>1215</v>
      </c>
      <c r="B1178" s="8">
        <v>2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>
        <f t="shared" si="55"/>
        <v>0</v>
      </c>
      <c r="AL1178" s="8">
        <f t="shared" si="56"/>
        <v>2</v>
      </c>
      <c r="AM1178" s="20"/>
    </row>
    <row r="1179" spans="1:39" s="26" customFormat="1" ht="24.95" customHeight="1">
      <c r="A1179" s="7" t="s">
        <v>1216</v>
      </c>
      <c r="B1179" s="8">
        <v>4</v>
      </c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>
        <f t="shared" si="55"/>
        <v>0</v>
      </c>
      <c r="AL1179" s="8">
        <f t="shared" si="56"/>
        <v>4</v>
      </c>
      <c r="AM1179" s="20"/>
    </row>
    <row r="1180" spans="1:39" s="26" customFormat="1" ht="24.95" customHeight="1">
      <c r="A1180" s="7" t="s">
        <v>1217</v>
      </c>
      <c r="B1180" s="8">
        <v>98</v>
      </c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>
        <f t="shared" si="55"/>
        <v>0</v>
      </c>
      <c r="AL1180" s="8">
        <f t="shared" si="56"/>
        <v>98</v>
      </c>
      <c r="AM1180" s="20"/>
    </row>
    <row r="1181" spans="1:39" s="26" customFormat="1" ht="24.95" customHeight="1">
      <c r="A1181" s="7" t="s">
        <v>1218</v>
      </c>
      <c r="B1181" s="8">
        <v>31</v>
      </c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>
        <f t="shared" si="55"/>
        <v>0</v>
      </c>
      <c r="AL1181" s="8">
        <f t="shared" si="56"/>
        <v>31</v>
      </c>
      <c r="AM1181" s="20"/>
    </row>
    <row r="1182" spans="1:39" s="26" customFormat="1" ht="24.95" customHeight="1">
      <c r="A1182" s="7" t="s">
        <v>1219</v>
      </c>
      <c r="B1182" s="8">
        <v>1520</v>
      </c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>
        <v>18</v>
      </c>
      <c r="AK1182" s="8">
        <f t="shared" si="55"/>
        <v>-18</v>
      </c>
      <c r="AL1182" s="8">
        <f t="shared" si="56"/>
        <v>1502</v>
      </c>
      <c r="AM1182" s="20"/>
    </row>
    <row r="1183" spans="1:39" s="26" customFormat="1" ht="24.95" customHeight="1">
      <c r="A1183" s="7" t="s">
        <v>1220</v>
      </c>
      <c r="B1183" s="8">
        <v>5</v>
      </c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>
        <f t="shared" si="55"/>
        <v>0</v>
      </c>
      <c r="AL1183" s="8">
        <f t="shared" si="56"/>
        <v>5</v>
      </c>
      <c r="AM1183" s="20"/>
    </row>
    <row r="1184" spans="1:39" s="26" customFormat="1" ht="24.95" customHeight="1">
      <c r="A1184" s="7" t="s">
        <v>1221</v>
      </c>
      <c r="B1184" s="8">
        <v>74</v>
      </c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>
        <v>1</v>
      </c>
      <c r="AK1184" s="8">
        <f t="shared" si="55"/>
        <v>-1</v>
      </c>
      <c r="AL1184" s="8">
        <f t="shared" si="56"/>
        <v>73</v>
      </c>
      <c r="AM1184" s="20"/>
    </row>
    <row r="1185" spans="1:39" s="26" customFormat="1" ht="24.95" customHeight="1">
      <c r="A1185" s="7" t="s">
        <v>1222</v>
      </c>
      <c r="B1185" s="8">
        <v>2534</v>
      </c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>
        <v>1</v>
      </c>
      <c r="AK1185" s="8">
        <f t="shared" si="55"/>
        <v>-1</v>
      </c>
      <c r="AL1185" s="8">
        <f t="shared" si="56"/>
        <v>2533</v>
      </c>
      <c r="AM1185" s="20"/>
    </row>
    <row r="1186" spans="1:39" s="26" customFormat="1" ht="24.95" customHeight="1">
      <c r="A1186" s="7" t="s">
        <v>1223</v>
      </c>
      <c r="B1186" s="8">
        <v>83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>
        <v>1</v>
      </c>
      <c r="AK1186" s="8">
        <f t="shared" si="55"/>
        <v>-1</v>
      </c>
      <c r="AL1186" s="8">
        <f t="shared" si="56"/>
        <v>82</v>
      </c>
      <c r="AM1186" s="20"/>
    </row>
    <row r="1187" spans="1:39" s="26" customFormat="1" ht="24.95" customHeight="1">
      <c r="A1187" s="7" t="s">
        <v>1224</v>
      </c>
      <c r="B1187" s="8">
        <v>4</v>
      </c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>
        <f t="shared" si="55"/>
        <v>0</v>
      </c>
      <c r="AL1187" s="8">
        <f t="shared" si="56"/>
        <v>4</v>
      </c>
      <c r="AM1187" s="20"/>
    </row>
    <row r="1188" spans="1:39" s="26" customFormat="1" ht="24.95" customHeight="1">
      <c r="A1188" s="7" t="s">
        <v>1225</v>
      </c>
      <c r="B1188" s="8">
        <v>92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>
        <v>1</v>
      </c>
      <c r="AK1188" s="8">
        <f t="shared" si="55"/>
        <v>-1</v>
      </c>
      <c r="AL1188" s="8">
        <f t="shared" si="56"/>
        <v>91</v>
      </c>
      <c r="AM1188" s="20"/>
    </row>
    <row r="1189" spans="1:39" s="26" customFormat="1" ht="24.95" customHeight="1">
      <c r="A1189" s="7" t="s">
        <v>1226</v>
      </c>
      <c r="B1189" s="8">
        <v>6</v>
      </c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>
        <f t="shared" si="55"/>
        <v>0</v>
      </c>
      <c r="AL1189" s="8">
        <f t="shared" si="56"/>
        <v>6</v>
      </c>
      <c r="AM1189" s="20"/>
    </row>
    <row r="1190" spans="1:39" s="26" customFormat="1" ht="24.95" customHeight="1">
      <c r="A1190" s="7" t="s">
        <v>1227</v>
      </c>
      <c r="B1190" s="8">
        <v>10</v>
      </c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>
        <v>4</v>
      </c>
      <c r="AK1190" s="8">
        <f t="shared" si="55"/>
        <v>-4</v>
      </c>
      <c r="AL1190" s="8">
        <f t="shared" si="56"/>
        <v>6</v>
      </c>
      <c r="AM1190" s="20"/>
    </row>
    <row r="1191" spans="1:39" s="26" customFormat="1" ht="24.95" customHeight="1">
      <c r="A1191" s="7" t="s">
        <v>1228</v>
      </c>
      <c r="B1191" s="8">
        <v>3</v>
      </c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>
        <f t="shared" si="55"/>
        <v>0</v>
      </c>
      <c r="AL1191" s="8">
        <f t="shared" si="56"/>
        <v>3</v>
      </c>
      <c r="AM1191" s="20"/>
    </row>
    <row r="1192" spans="1:39" s="26" customFormat="1" ht="24.95" customHeight="1">
      <c r="A1192" s="7" t="s">
        <v>1229</v>
      </c>
      <c r="B1192" s="8">
        <v>86</v>
      </c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>
        <f t="shared" si="55"/>
        <v>0</v>
      </c>
      <c r="AL1192" s="8">
        <f t="shared" si="56"/>
        <v>86</v>
      </c>
      <c r="AM1192" s="20"/>
    </row>
    <row r="1193" spans="1:39" s="26" customFormat="1" ht="24.95" customHeight="1">
      <c r="A1193" s="7" t="s">
        <v>1230</v>
      </c>
      <c r="B1193" s="8">
        <v>50</v>
      </c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>
        <v>1</v>
      </c>
      <c r="AK1193" s="8">
        <f t="shared" si="55"/>
        <v>-1</v>
      </c>
      <c r="AL1193" s="8">
        <f t="shared" si="56"/>
        <v>49</v>
      </c>
      <c r="AM1193" s="20"/>
    </row>
    <row r="1194" spans="1:39" s="26" customFormat="1" ht="24.95" customHeight="1">
      <c r="A1194" s="7" t="s">
        <v>1231</v>
      </c>
      <c r="B1194" s="8">
        <v>6575</v>
      </c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>
        <v>18</v>
      </c>
      <c r="AK1194" s="8">
        <f t="shared" si="55"/>
        <v>-18</v>
      </c>
      <c r="AL1194" s="8">
        <f t="shared" si="56"/>
        <v>6557</v>
      </c>
      <c r="AM1194" s="20"/>
    </row>
    <row r="1195" spans="1:39" s="26" customFormat="1" ht="24.95" customHeight="1">
      <c r="A1195" s="7" t="s">
        <v>1232</v>
      </c>
      <c r="B1195" s="8">
        <v>4565</v>
      </c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>
        <v>3</v>
      </c>
      <c r="AK1195" s="8">
        <f t="shared" si="55"/>
        <v>-3</v>
      </c>
      <c r="AL1195" s="8">
        <f t="shared" si="56"/>
        <v>4562</v>
      </c>
      <c r="AM1195" s="20"/>
    </row>
    <row r="1196" spans="1:39" s="26" customFormat="1" ht="24.95" customHeight="1">
      <c r="A1196" s="7" t="s">
        <v>1233</v>
      </c>
      <c r="B1196" s="8">
        <v>3499</v>
      </c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>
        <v>3</v>
      </c>
      <c r="AK1196" s="8">
        <f t="shared" si="55"/>
        <v>-3</v>
      </c>
      <c r="AL1196" s="8">
        <f t="shared" si="56"/>
        <v>3496</v>
      </c>
      <c r="AM1196" s="20"/>
    </row>
    <row r="1197" spans="1:39" s="26" customFormat="1" ht="24.95" customHeight="1">
      <c r="A1197" s="7" t="s">
        <v>1234</v>
      </c>
      <c r="B1197" s="8">
        <v>8935</v>
      </c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>
        <f t="shared" si="55"/>
        <v>0</v>
      </c>
      <c r="AL1197" s="8">
        <f t="shared" si="56"/>
        <v>8935</v>
      </c>
      <c r="AM1197" s="20"/>
    </row>
    <row r="1198" spans="1:39" s="26" customFormat="1" ht="24.95" customHeight="1">
      <c r="A1198" s="7" t="s">
        <v>1235</v>
      </c>
      <c r="B1198" s="8">
        <v>1235</v>
      </c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>
        <v>3</v>
      </c>
      <c r="AK1198" s="8">
        <f t="shared" si="55"/>
        <v>-3</v>
      </c>
      <c r="AL1198" s="8">
        <f t="shared" si="56"/>
        <v>1232</v>
      </c>
      <c r="AM1198" s="20"/>
    </row>
    <row r="1199" spans="1:39" s="26" customFormat="1" ht="24.95" customHeight="1">
      <c r="A1199" s="7" t="s">
        <v>1236</v>
      </c>
      <c r="B1199" s="8">
        <v>2</v>
      </c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>
        <f t="shared" si="55"/>
        <v>0</v>
      </c>
      <c r="AL1199" s="8">
        <f t="shared" si="56"/>
        <v>2</v>
      </c>
      <c r="AM1199" s="20"/>
    </row>
    <row r="1200" spans="1:39" s="26" customFormat="1" ht="24" customHeight="1">
      <c r="A1200" s="7" t="s">
        <v>1237</v>
      </c>
      <c r="B1200" s="8">
        <v>3</v>
      </c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>
        <f t="shared" si="55"/>
        <v>0</v>
      </c>
      <c r="AL1200" s="8">
        <f t="shared" si="56"/>
        <v>3</v>
      </c>
      <c r="AM1200" s="20"/>
    </row>
    <row r="1201" spans="1:39" s="26" customFormat="1" ht="24.95" customHeight="1">
      <c r="A1201" s="7" t="s">
        <v>1238</v>
      </c>
      <c r="B1201" s="8">
        <v>5590</v>
      </c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>
        <v>259</v>
      </c>
      <c r="AK1201" s="8">
        <f t="shared" si="55"/>
        <v>-259</v>
      </c>
      <c r="AL1201" s="8">
        <f t="shared" si="56"/>
        <v>5331</v>
      </c>
      <c r="AM1201" s="20"/>
    </row>
    <row r="1202" spans="1:39" s="26" customFormat="1" ht="24.95" customHeight="1">
      <c r="A1202" s="7" t="s">
        <v>1239</v>
      </c>
      <c r="B1202" s="8">
        <v>4</v>
      </c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>
        <f t="shared" si="55"/>
        <v>0</v>
      </c>
      <c r="AL1202" s="8">
        <f t="shared" si="56"/>
        <v>4</v>
      </c>
      <c r="AM1202" s="20"/>
    </row>
    <row r="1203" spans="1:39" s="26" customFormat="1" ht="24.95" customHeight="1">
      <c r="A1203" s="7" t="s">
        <v>1240</v>
      </c>
      <c r="B1203" s="8">
        <v>1</v>
      </c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>
        <f t="shared" si="55"/>
        <v>0</v>
      </c>
      <c r="AL1203" s="8">
        <f t="shared" si="56"/>
        <v>1</v>
      </c>
      <c r="AM1203" s="20"/>
    </row>
    <row r="1204" spans="1:39" s="26" customFormat="1" ht="24.95" customHeight="1">
      <c r="A1204" s="7" t="s">
        <v>1241</v>
      </c>
      <c r="B1204" s="8">
        <v>0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>
        <f t="shared" si="55"/>
        <v>0</v>
      </c>
      <c r="AL1204" s="8">
        <f t="shared" si="56"/>
        <v>0</v>
      </c>
      <c r="AM1204" s="20"/>
    </row>
    <row r="1205" spans="1:39" s="26" customFormat="1" ht="24.95" customHeight="1">
      <c r="A1205" s="7" t="s">
        <v>1242</v>
      </c>
      <c r="B1205" s="8">
        <v>5401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>
        <v>155</v>
      </c>
      <c r="AK1205" s="8">
        <f t="shared" si="55"/>
        <v>-155</v>
      </c>
      <c r="AL1205" s="8">
        <f t="shared" si="56"/>
        <v>5246</v>
      </c>
      <c r="AM1205" s="20"/>
    </row>
    <row r="1206" spans="1:39" s="26" customFormat="1" ht="28.5" customHeight="1">
      <c r="A1206" s="7" t="s">
        <v>1243</v>
      </c>
      <c r="B1206" s="8">
        <v>144</v>
      </c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>
        <f t="shared" si="55"/>
        <v>0</v>
      </c>
      <c r="AL1206" s="8">
        <f t="shared" si="56"/>
        <v>144</v>
      </c>
      <c r="AM1206" s="20"/>
    </row>
    <row r="1207" spans="1:39" s="26" customFormat="1" ht="24.95" customHeight="1">
      <c r="A1207" s="7" t="s">
        <v>1244</v>
      </c>
      <c r="B1207" s="8">
        <v>4067</v>
      </c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>
        <v>2</v>
      </c>
      <c r="AK1207" s="8">
        <f t="shared" ref="AK1207:AK1271" si="57">SUM((D1207+P1207+G1207+L1207+S1207+X1207+Z1207+AD1207+M1207+J1207+V1207+AB1207+F1207+AG1207+O1207+AI1207)+(-N1207-E1207-R1207-Q1207-T1207-Y1207-AA1207-AE1207-AJ1207-K1207-I1207-H1207-U1207-AC1207-AF1207-AH1207-W1207))</f>
        <v>-2</v>
      </c>
      <c r="AL1207" s="8">
        <f t="shared" ref="AL1207:AL1271" si="58">B1207+AK1207</f>
        <v>4065</v>
      </c>
      <c r="AM1207" s="20"/>
    </row>
    <row r="1208" spans="1:39" s="26" customFormat="1" ht="24.95" customHeight="1">
      <c r="A1208" s="7" t="s">
        <v>1245</v>
      </c>
      <c r="B1208" s="8">
        <v>3</v>
      </c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>
        <f t="shared" si="57"/>
        <v>0</v>
      </c>
      <c r="AL1208" s="8">
        <f t="shared" si="58"/>
        <v>3</v>
      </c>
      <c r="AM1208" s="20"/>
    </row>
    <row r="1209" spans="1:39" s="28" customFormat="1" ht="24.95" customHeight="1">
      <c r="A1209" s="8" t="s">
        <v>1246</v>
      </c>
      <c r="B1209" s="8">
        <v>566</v>
      </c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>
        <f>Z1210*2</f>
        <v>0</v>
      </c>
      <c r="AB1209" s="8"/>
      <c r="AC1209" s="8"/>
      <c r="AD1209" s="8"/>
      <c r="AE1209" s="8"/>
      <c r="AF1209" s="8"/>
      <c r="AG1209" s="8"/>
      <c r="AH1209" s="8"/>
      <c r="AI1209" s="8"/>
      <c r="AJ1209" s="8">
        <v>101</v>
      </c>
      <c r="AK1209" s="8">
        <f t="shared" si="57"/>
        <v>-101</v>
      </c>
      <c r="AL1209" s="8">
        <f t="shared" si="58"/>
        <v>465</v>
      </c>
      <c r="AM1209" s="8"/>
    </row>
    <row r="1210" spans="1:39" s="28" customFormat="1" ht="24.95" customHeight="1">
      <c r="A1210" s="8" t="s">
        <v>1247</v>
      </c>
      <c r="B1210" s="8">
        <v>0</v>
      </c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>
        <f t="shared" si="57"/>
        <v>0</v>
      </c>
      <c r="AL1210" s="8">
        <f t="shared" si="58"/>
        <v>0</v>
      </c>
      <c r="AM1210" s="8"/>
    </row>
    <row r="1211" spans="1:39" s="29" customFormat="1" ht="24.95" customHeight="1">
      <c r="A1211" s="8" t="s">
        <v>1248</v>
      </c>
      <c r="B1211" s="8">
        <v>6262</v>
      </c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>
        <v>153</v>
      </c>
      <c r="AK1211" s="8">
        <f t="shared" si="57"/>
        <v>-153</v>
      </c>
      <c r="AL1211" s="8">
        <f t="shared" si="58"/>
        <v>6109</v>
      </c>
      <c r="AM1211" s="8"/>
    </row>
    <row r="1212" spans="1:39" s="29" customFormat="1" ht="24.95" customHeight="1">
      <c r="A1212" s="8" t="s">
        <v>1249</v>
      </c>
      <c r="B1212" s="8">
        <v>2089</v>
      </c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>
        <v>1</v>
      </c>
      <c r="AK1212" s="8">
        <f t="shared" si="57"/>
        <v>-1</v>
      </c>
      <c r="AL1212" s="8">
        <f t="shared" si="58"/>
        <v>2088</v>
      </c>
      <c r="AM1212" s="8"/>
    </row>
    <row r="1213" spans="1:39" s="29" customFormat="1" ht="24.95" customHeight="1">
      <c r="A1213" s="8" t="s">
        <v>1250</v>
      </c>
      <c r="B1213" s="8">
        <v>27</v>
      </c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>
        <f t="shared" si="57"/>
        <v>0</v>
      </c>
      <c r="AL1213" s="8">
        <f t="shared" si="58"/>
        <v>27</v>
      </c>
      <c r="AM1213" s="8"/>
    </row>
    <row r="1214" spans="1:39" s="29" customFormat="1" ht="24.95" customHeight="1">
      <c r="A1214" s="8" t="s">
        <v>1251</v>
      </c>
      <c r="B1214" s="8">
        <v>117</v>
      </c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>
        <f t="shared" si="57"/>
        <v>0</v>
      </c>
      <c r="AL1214" s="8">
        <f t="shared" si="58"/>
        <v>117</v>
      </c>
      <c r="AM1214" s="8"/>
    </row>
    <row r="1215" spans="1:39" s="29" customFormat="1" ht="24.95" customHeight="1">
      <c r="A1215" s="8" t="s">
        <v>1252</v>
      </c>
      <c r="B1215" s="8">
        <v>3186</v>
      </c>
      <c r="C1215" s="8"/>
      <c r="D1215" s="8"/>
      <c r="E1215" s="8"/>
      <c r="F1215" s="8"/>
      <c r="G1215" s="8"/>
      <c r="H1215" s="8"/>
      <c r="I1215" s="8"/>
      <c r="J1215" s="8"/>
      <c r="K1215" s="8"/>
      <c r="L1215" s="8">
        <v>4000</v>
      </c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>
        <v>95</v>
      </c>
      <c r="AK1215" s="8">
        <f t="shared" si="57"/>
        <v>3905</v>
      </c>
      <c r="AL1215" s="8">
        <f t="shared" si="58"/>
        <v>7091</v>
      </c>
      <c r="AM1215" s="8"/>
    </row>
    <row r="1216" spans="1:39" s="29" customFormat="1" ht="24.95" customHeight="1">
      <c r="A1216" s="8" t="s">
        <v>1253</v>
      </c>
      <c r="B1216" s="8">
        <v>9418</v>
      </c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>
        <v>987</v>
      </c>
      <c r="AK1216" s="8">
        <f t="shared" si="57"/>
        <v>-987</v>
      </c>
      <c r="AL1216" s="8">
        <f t="shared" si="58"/>
        <v>8431</v>
      </c>
      <c r="AM1216" s="8"/>
    </row>
    <row r="1217" spans="1:39" s="29" customFormat="1" ht="24.95" customHeight="1">
      <c r="A1217" s="8" t="s">
        <v>1254</v>
      </c>
      <c r="B1217" s="8">
        <v>11256</v>
      </c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>
        <v>5</v>
      </c>
      <c r="AK1217" s="8">
        <f t="shared" si="57"/>
        <v>-5</v>
      </c>
      <c r="AL1217" s="8">
        <f t="shared" si="58"/>
        <v>11251</v>
      </c>
      <c r="AM1217" s="8"/>
    </row>
    <row r="1218" spans="1:39" s="29" customFormat="1" ht="24.95" customHeight="1">
      <c r="A1218" s="8" t="s">
        <v>1255</v>
      </c>
      <c r="B1218" s="8">
        <v>158</v>
      </c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>
        <f t="shared" si="57"/>
        <v>0</v>
      </c>
      <c r="AL1218" s="8">
        <f t="shared" si="58"/>
        <v>158</v>
      </c>
      <c r="AM1218" s="8"/>
    </row>
    <row r="1219" spans="1:39" s="29" customFormat="1" ht="24.95" customHeight="1">
      <c r="A1219" s="8" t="s">
        <v>1256</v>
      </c>
      <c r="B1219" s="8">
        <v>7</v>
      </c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>
        <v>2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>
        <v>9</v>
      </c>
      <c r="AK1219" s="8">
        <f t="shared" si="57"/>
        <v>-7</v>
      </c>
      <c r="AL1219" s="8">
        <f t="shared" si="58"/>
        <v>0</v>
      </c>
      <c r="AM1219" s="8"/>
    </row>
    <row r="1220" spans="1:39" s="29" customFormat="1" ht="24.95" customHeight="1">
      <c r="A1220" s="8" t="s">
        <v>1257</v>
      </c>
      <c r="B1220" s="8">
        <v>4510</v>
      </c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>
        <f t="shared" si="57"/>
        <v>0</v>
      </c>
      <c r="AL1220" s="8">
        <f t="shared" si="58"/>
        <v>4510</v>
      </c>
      <c r="AM1220" s="8"/>
    </row>
    <row r="1221" spans="1:39" s="29" customFormat="1" ht="24.95" customHeight="1">
      <c r="A1221" s="8" t="s">
        <v>1258</v>
      </c>
      <c r="B1221" s="8">
        <v>2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>
        <f t="shared" si="57"/>
        <v>0</v>
      </c>
      <c r="AL1221" s="8">
        <f t="shared" si="58"/>
        <v>2</v>
      </c>
      <c r="AM1221" s="8"/>
    </row>
    <row r="1222" spans="1:39" s="29" customFormat="1" ht="24.95" customHeight="1">
      <c r="A1222" s="8" t="s">
        <v>1259</v>
      </c>
      <c r="B1222" s="8">
        <v>0</v>
      </c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>
        <f t="shared" si="57"/>
        <v>0</v>
      </c>
      <c r="AL1222" s="8">
        <f t="shared" si="58"/>
        <v>0</v>
      </c>
      <c r="AM1222" s="8"/>
    </row>
    <row r="1223" spans="1:39" s="29" customFormat="1" ht="24.95" customHeight="1">
      <c r="A1223" s="8" t="s">
        <v>1260</v>
      </c>
      <c r="B1223" s="8">
        <v>3951</v>
      </c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>
        <v>3</v>
      </c>
      <c r="AK1223" s="8">
        <f t="shared" si="57"/>
        <v>-3</v>
      </c>
      <c r="AL1223" s="8">
        <f t="shared" si="58"/>
        <v>3948</v>
      </c>
      <c r="AM1223" s="8"/>
    </row>
    <row r="1224" spans="1:39" s="29" customFormat="1" ht="24.95" customHeight="1">
      <c r="A1224" s="8" t="s">
        <v>1261</v>
      </c>
      <c r="B1224" s="8">
        <v>1654</v>
      </c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>
        <v>3</v>
      </c>
      <c r="AK1224" s="8">
        <f t="shared" si="57"/>
        <v>-3</v>
      </c>
      <c r="AL1224" s="8">
        <f t="shared" si="58"/>
        <v>1651</v>
      </c>
      <c r="AM1224" s="8"/>
    </row>
    <row r="1225" spans="1:39" s="29" customFormat="1" ht="24.95" customHeight="1">
      <c r="A1225" s="8" t="s">
        <v>1262</v>
      </c>
      <c r="B1225" s="8">
        <v>15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>
        <f t="shared" si="57"/>
        <v>0</v>
      </c>
      <c r="AL1225" s="8">
        <f t="shared" si="58"/>
        <v>15</v>
      </c>
      <c r="AM1225" s="8"/>
    </row>
    <row r="1226" spans="1:39" s="29" customFormat="1" ht="24.95" customHeight="1">
      <c r="A1226" s="8" t="s">
        <v>1263</v>
      </c>
      <c r="B1226" s="8">
        <v>1200</v>
      </c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>
        <v>285</v>
      </c>
      <c r="AK1226" s="8">
        <f t="shared" si="57"/>
        <v>-285</v>
      </c>
      <c r="AL1226" s="8">
        <f t="shared" si="58"/>
        <v>915</v>
      </c>
      <c r="AM1226" s="8"/>
    </row>
    <row r="1227" spans="1:39" s="29" customFormat="1" ht="24.95" customHeight="1">
      <c r="A1227" s="8" t="s">
        <v>1264</v>
      </c>
      <c r="B1227" s="8">
        <v>11</v>
      </c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>
        <f t="shared" si="57"/>
        <v>0</v>
      </c>
      <c r="AL1227" s="8">
        <f t="shared" si="58"/>
        <v>11</v>
      </c>
      <c r="AM1227" s="8"/>
    </row>
    <row r="1228" spans="1:39" s="29" customFormat="1" ht="24.95" customHeight="1">
      <c r="A1228" s="8" t="s">
        <v>1265</v>
      </c>
      <c r="B1228" s="8">
        <v>136</v>
      </c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>
        <f t="shared" si="57"/>
        <v>0</v>
      </c>
      <c r="AL1228" s="8">
        <f t="shared" si="58"/>
        <v>136</v>
      </c>
      <c r="AM1228" s="8"/>
    </row>
    <row r="1229" spans="1:39" s="29" customFormat="1" ht="24.95" customHeight="1">
      <c r="A1229" s="8" t="s">
        <v>1266</v>
      </c>
      <c r="B1229" s="8">
        <v>124</v>
      </c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>
        <f t="shared" si="57"/>
        <v>0</v>
      </c>
      <c r="AL1229" s="8">
        <f t="shared" si="58"/>
        <v>124</v>
      </c>
      <c r="AM1229" s="8"/>
    </row>
    <row r="1230" spans="1:39" s="29" customFormat="1" ht="24.95" customHeight="1">
      <c r="A1230" s="8" t="s">
        <v>1267</v>
      </c>
      <c r="B1230" s="8">
        <v>2581</v>
      </c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>
        <v>4</v>
      </c>
      <c r="AK1230" s="8">
        <f t="shared" si="57"/>
        <v>-4</v>
      </c>
      <c r="AL1230" s="8">
        <f t="shared" si="58"/>
        <v>2577</v>
      </c>
      <c r="AM1230" s="8"/>
    </row>
    <row r="1231" spans="1:39" s="29" customFormat="1" ht="24.95" customHeight="1">
      <c r="A1231" s="8" t="s">
        <v>1268</v>
      </c>
      <c r="B1231" s="8">
        <v>195</v>
      </c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>
        <f t="shared" si="57"/>
        <v>0</v>
      </c>
      <c r="AL1231" s="8">
        <f t="shared" si="58"/>
        <v>195</v>
      </c>
      <c r="AM1231" s="8"/>
    </row>
    <row r="1232" spans="1:39" s="29" customFormat="1" ht="24.95" customHeight="1">
      <c r="A1232" s="8" t="s">
        <v>1269</v>
      </c>
      <c r="B1232" s="8">
        <v>3939</v>
      </c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>
        <v>55</v>
      </c>
      <c r="AK1232" s="8">
        <f t="shared" si="57"/>
        <v>-55</v>
      </c>
      <c r="AL1232" s="8">
        <f t="shared" si="58"/>
        <v>3884</v>
      </c>
      <c r="AM1232" s="8"/>
    </row>
    <row r="1233" spans="1:39" s="29" customFormat="1" ht="24.95" customHeight="1">
      <c r="A1233" s="8" t="s">
        <v>1270</v>
      </c>
      <c r="B1233" s="8">
        <v>3736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>
        <v>148</v>
      </c>
      <c r="AK1233" s="8">
        <f t="shared" si="57"/>
        <v>-148</v>
      </c>
      <c r="AL1233" s="8">
        <f t="shared" si="58"/>
        <v>3588</v>
      </c>
      <c r="AM1233" s="8"/>
    </row>
    <row r="1234" spans="1:39" s="29" customFormat="1" ht="24.95" customHeight="1">
      <c r="A1234" s="8" t="s">
        <v>1271</v>
      </c>
      <c r="B1234" s="8">
        <v>2</v>
      </c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>
        <f t="shared" si="57"/>
        <v>0</v>
      </c>
      <c r="AL1234" s="8">
        <f t="shared" si="58"/>
        <v>2</v>
      </c>
      <c r="AM1234" s="8"/>
    </row>
    <row r="1235" spans="1:39" s="8" customFormat="1" ht="24.95" customHeight="1">
      <c r="A1235" s="8" t="s">
        <v>1272</v>
      </c>
      <c r="B1235" s="8">
        <v>10319</v>
      </c>
      <c r="AJ1235" s="8">
        <v>59</v>
      </c>
      <c r="AK1235" s="8">
        <f t="shared" si="57"/>
        <v>-59</v>
      </c>
      <c r="AL1235" s="8">
        <f t="shared" si="58"/>
        <v>10260</v>
      </c>
    </row>
    <row r="1236" spans="1:39" s="30" customFormat="1" ht="24.95" customHeight="1">
      <c r="A1236" s="8" t="s">
        <v>1273</v>
      </c>
      <c r="B1236" s="8">
        <v>5956</v>
      </c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>
        <v>8</v>
      </c>
      <c r="AK1236" s="8">
        <f t="shared" si="57"/>
        <v>-8</v>
      </c>
      <c r="AL1236" s="8">
        <f t="shared" si="58"/>
        <v>5948</v>
      </c>
      <c r="AM1236" s="8"/>
    </row>
    <row r="1237" spans="1:39" s="30" customFormat="1" ht="24.95" customHeight="1">
      <c r="A1237" s="8" t="s">
        <v>1274</v>
      </c>
      <c r="B1237" s="8">
        <v>9292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>
        <v>186</v>
      </c>
      <c r="AK1237" s="8">
        <f t="shared" si="57"/>
        <v>-186</v>
      </c>
      <c r="AL1237" s="8">
        <f t="shared" si="58"/>
        <v>9106</v>
      </c>
      <c r="AM1237" s="8"/>
    </row>
    <row r="1238" spans="1:39" s="30" customFormat="1" ht="24.95" customHeight="1">
      <c r="A1238" s="8" t="s">
        <v>1275</v>
      </c>
      <c r="B1238" s="8">
        <v>0</v>
      </c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>
        <f t="shared" si="57"/>
        <v>0</v>
      </c>
      <c r="AL1238" s="8">
        <f t="shared" si="58"/>
        <v>0</v>
      </c>
      <c r="AM1238" s="8"/>
    </row>
    <row r="1239" spans="1:39" s="30" customFormat="1" ht="24.95" customHeight="1">
      <c r="A1239" s="8" t="s">
        <v>1276</v>
      </c>
      <c r="B1239" s="8">
        <v>3413</v>
      </c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>
        <v>1</v>
      </c>
      <c r="AK1239" s="8">
        <f t="shared" si="57"/>
        <v>-1</v>
      </c>
      <c r="AL1239" s="8">
        <f t="shared" si="58"/>
        <v>3412</v>
      </c>
      <c r="AM1239" s="8"/>
    </row>
    <row r="1240" spans="1:39" s="30" customFormat="1" ht="24.95" customHeight="1">
      <c r="A1240" s="8" t="s">
        <v>1277</v>
      </c>
      <c r="B1240" s="8">
        <v>140</v>
      </c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>
        <v>2</v>
      </c>
      <c r="AK1240" s="8">
        <f t="shared" si="57"/>
        <v>-2</v>
      </c>
      <c r="AL1240" s="8">
        <f t="shared" si="58"/>
        <v>138</v>
      </c>
      <c r="AM1240" s="8"/>
    </row>
    <row r="1241" spans="1:39" s="30" customFormat="1" ht="24.95" customHeight="1">
      <c r="A1241" s="8" t="s">
        <v>1278</v>
      </c>
      <c r="B1241" s="8">
        <v>1967</v>
      </c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>
        <v>12</v>
      </c>
      <c r="AK1241" s="8">
        <f t="shared" si="57"/>
        <v>-12</v>
      </c>
      <c r="AL1241" s="8">
        <f t="shared" si="58"/>
        <v>1955</v>
      </c>
      <c r="AM1241" s="8"/>
    </row>
    <row r="1242" spans="1:39" s="30" customFormat="1" ht="24.95" customHeight="1">
      <c r="A1242" s="8" t="s">
        <v>1279</v>
      </c>
      <c r="B1242" s="8">
        <v>3501</v>
      </c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>
        <v>51</v>
      </c>
      <c r="AK1242" s="8">
        <f t="shared" si="57"/>
        <v>-51</v>
      </c>
      <c r="AL1242" s="8">
        <f t="shared" si="58"/>
        <v>3450</v>
      </c>
      <c r="AM1242" s="8"/>
    </row>
    <row r="1243" spans="1:39" s="30" customFormat="1" ht="24.95" customHeight="1">
      <c r="A1243" s="8" t="s">
        <v>1280</v>
      </c>
      <c r="B1243" s="8">
        <v>6</v>
      </c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>
        <f t="shared" si="57"/>
        <v>0</v>
      </c>
      <c r="AL1243" s="8">
        <f t="shared" si="58"/>
        <v>6</v>
      </c>
      <c r="AM1243" s="8"/>
    </row>
    <row r="1244" spans="1:39" s="30" customFormat="1" ht="24.95" customHeight="1">
      <c r="A1244" s="8" t="s">
        <v>1281</v>
      </c>
      <c r="B1244" s="8">
        <v>12407</v>
      </c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>
        <v>1266</v>
      </c>
      <c r="AK1244" s="8">
        <f t="shared" si="57"/>
        <v>-1266</v>
      </c>
      <c r="AL1244" s="8">
        <f t="shared" si="58"/>
        <v>11141</v>
      </c>
      <c r="AM1244" s="8"/>
    </row>
    <row r="1245" spans="1:39" s="30" customFormat="1" ht="24.95" customHeight="1">
      <c r="A1245" s="8" t="s">
        <v>1282</v>
      </c>
      <c r="B1245" s="8">
        <v>0</v>
      </c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>
        <f t="shared" si="57"/>
        <v>0</v>
      </c>
      <c r="AL1245" s="8">
        <f t="shared" si="58"/>
        <v>0</v>
      </c>
      <c r="AM1245" s="8"/>
    </row>
    <row r="1246" spans="1:39" s="30" customFormat="1" ht="24.95" customHeight="1">
      <c r="A1246" s="8" t="s">
        <v>1283</v>
      </c>
      <c r="B1246" s="8">
        <v>3</v>
      </c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>
        <f t="shared" si="57"/>
        <v>0</v>
      </c>
      <c r="AL1246" s="8">
        <f t="shared" si="58"/>
        <v>3</v>
      </c>
      <c r="AM1246" s="8"/>
    </row>
    <row r="1247" spans="1:39" s="30" customFormat="1" ht="24.95" customHeight="1">
      <c r="A1247" s="8" t="s">
        <v>1284</v>
      </c>
      <c r="B1247" s="8">
        <v>31</v>
      </c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>
        <v>2</v>
      </c>
      <c r="AK1247" s="8">
        <f t="shared" si="57"/>
        <v>-2</v>
      </c>
      <c r="AL1247" s="8">
        <f t="shared" si="58"/>
        <v>29</v>
      </c>
      <c r="AM1247" s="8"/>
    </row>
    <row r="1248" spans="1:39" s="30" customFormat="1" ht="24.95" customHeight="1">
      <c r="A1248" s="8" t="s">
        <v>1285</v>
      </c>
      <c r="B1248" s="8">
        <v>2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>
        <f t="shared" si="57"/>
        <v>0</v>
      </c>
      <c r="AL1248" s="8">
        <f t="shared" si="58"/>
        <v>2</v>
      </c>
      <c r="AM1248" s="8"/>
    </row>
    <row r="1249" spans="1:39" s="30" customFormat="1" ht="24.95" customHeight="1">
      <c r="A1249" s="8" t="s">
        <v>1286</v>
      </c>
      <c r="B1249" s="8">
        <v>0</v>
      </c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>
        <f t="shared" si="57"/>
        <v>0</v>
      </c>
      <c r="AL1249" s="8">
        <f t="shared" si="58"/>
        <v>0</v>
      </c>
      <c r="AM1249" s="8"/>
    </row>
    <row r="1250" spans="1:39" s="30" customFormat="1" ht="24.95" customHeight="1">
      <c r="A1250" s="8" t="s">
        <v>1287</v>
      </c>
      <c r="B1250" s="8">
        <v>138</v>
      </c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>
        <v>2</v>
      </c>
      <c r="AK1250" s="8">
        <f t="shared" si="57"/>
        <v>-2</v>
      </c>
      <c r="AL1250" s="8">
        <f t="shared" si="58"/>
        <v>136</v>
      </c>
      <c r="AM1250" s="8"/>
    </row>
    <row r="1251" spans="1:39" s="30" customFormat="1" ht="24.95" customHeight="1">
      <c r="A1251" s="8" t="s">
        <v>1288</v>
      </c>
      <c r="B1251" s="8">
        <v>68</v>
      </c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>
        <v>1</v>
      </c>
      <c r="AK1251" s="8">
        <f t="shared" si="57"/>
        <v>-1</v>
      </c>
      <c r="AL1251" s="8">
        <f t="shared" si="58"/>
        <v>67</v>
      </c>
      <c r="AM1251" s="8"/>
    </row>
    <row r="1252" spans="1:39" s="30" customFormat="1" ht="24.95" customHeight="1">
      <c r="A1252" s="8" t="s">
        <v>1289</v>
      </c>
      <c r="B1252" s="8">
        <v>3</v>
      </c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>
        <f t="shared" si="57"/>
        <v>0</v>
      </c>
      <c r="AL1252" s="8">
        <f t="shared" si="58"/>
        <v>3</v>
      </c>
      <c r="AM1252" s="8"/>
    </row>
    <row r="1253" spans="1:39" s="30" customFormat="1" ht="24.95" customHeight="1">
      <c r="A1253" s="8" t="s">
        <v>1290</v>
      </c>
      <c r="B1253" s="8">
        <v>7782</v>
      </c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>
        <v>5</v>
      </c>
      <c r="AK1253" s="8">
        <f t="shared" si="57"/>
        <v>-5</v>
      </c>
      <c r="AL1253" s="8">
        <f t="shared" si="58"/>
        <v>7777</v>
      </c>
      <c r="AM1253" s="8"/>
    </row>
    <row r="1254" spans="1:39" s="30" customFormat="1" ht="24.95" customHeight="1">
      <c r="A1254" s="8" t="s">
        <v>1291</v>
      </c>
      <c r="B1254" s="8">
        <v>156</v>
      </c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>
        <v>1</v>
      </c>
      <c r="AK1254" s="8">
        <f t="shared" si="57"/>
        <v>-1</v>
      </c>
      <c r="AL1254" s="8">
        <f t="shared" si="58"/>
        <v>155</v>
      </c>
      <c r="AM1254" s="8"/>
    </row>
    <row r="1255" spans="1:39" s="30" customFormat="1" ht="24.95" customHeight="1">
      <c r="A1255" s="8" t="s">
        <v>1292</v>
      </c>
      <c r="B1255" s="8">
        <v>0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>
        <f t="shared" si="57"/>
        <v>0</v>
      </c>
      <c r="AL1255" s="8">
        <f t="shared" si="58"/>
        <v>0</v>
      </c>
      <c r="AM1255" s="8"/>
    </row>
    <row r="1256" spans="1:39" s="30" customFormat="1" ht="24.95" customHeight="1">
      <c r="A1256" s="8" t="s">
        <v>1293</v>
      </c>
      <c r="B1256" s="8">
        <v>5</v>
      </c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>
        <f t="shared" si="57"/>
        <v>0</v>
      </c>
      <c r="AL1256" s="8">
        <f t="shared" si="58"/>
        <v>5</v>
      </c>
      <c r="AM1256" s="8"/>
    </row>
    <row r="1257" spans="1:39" s="30" customFormat="1" ht="24.95" customHeight="1">
      <c r="A1257" s="8" t="s">
        <v>1294</v>
      </c>
      <c r="B1257" s="8">
        <v>50</v>
      </c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>
        <f t="shared" si="57"/>
        <v>0</v>
      </c>
      <c r="AL1257" s="8">
        <f t="shared" si="58"/>
        <v>50</v>
      </c>
      <c r="AM1257" s="8"/>
    </row>
    <row r="1258" spans="1:39" s="30" customFormat="1" ht="24.95" customHeight="1">
      <c r="A1258" s="8" t="s">
        <v>1295</v>
      </c>
      <c r="B1258" s="8">
        <v>32</v>
      </c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>
        <v>4</v>
      </c>
      <c r="AK1258" s="8">
        <f t="shared" si="57"/>
        <v>-4</v>
      </c>
      <c r="AL1258" s="8">
        <f t="shared" si="58"/>
        <v>28</v>
      </c>
      <c r="AM1258" s="8"/>
    </row>
    <row r="1259" spans="1:39" s="30" customFormat="1" ht="26.25" customHeight="1">
      <c r="A1259" s="8" t="s">
        <v>1296</v>
      </c>
      <c r="B1259" s="8">
        <v>15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>
        <f t="shared" si="57"/>
        <v>0</v>
      </c>
      <c r="AL1259" s="8">
        <f t="shared" si="58"/>
        <v>15</v>
      </c>
      <c r="AM1259" s="8"/>
    </row>
    <row r="1260" spans="1:39" s="30" customFormat="1" ht="24.95" customHeight="1">
      <c r="A1260" s="8" t="s">
        <v>1297</v>
      </c>
      <c r="B1260" s="8">
        <v>147</v>
      </c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>
        <v>3</v>
      </c>
      <c r="AK1260" s="8">
        <f t="shared" si="57"/>
        <v>-3</v>
      </c>
      <c r="AL1260" s="8">
        <f t="shared" si="58"/>
        <v>144</v>
      </c>
      <c r="AM1260" s="8"/>
    </row>
    <row r="1261" spans="1:39" s="30" customFormat="1" ht="24.95" customHeight="1">
      <c r="A1261" s="8" t="s">
        <v>1298</v>
      </c>
      <c r="B1261" s="8">
        <v>152</v>
      </c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>
        <f t="shared" si="57"/>
        <v>0</v>
      </c>
      <c r="AL1261" s="8">
        <f t="shared" si="58"/>
        <v>152</v>
      </c>
      <c r="AM1261" s="8"/>
    </row>
    <row r="1262" spans="1:39" s="30" customFormat="1" ht="24.95" customHeight="1">
      <c r="A1262" s="8" t="s">
        <v>1299</v>
      </c>
      <c r="B1262" s="8">
        <v>145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>
        <v>3</v>
      </c>
      <c r="AK1262" s="8">
        <f t="shared" si="57"/>
        <v>-3</v>
      </c>
      <c r="AL1262" s="8">
        <f t="shared" si="58"/>
        <v>142</v>
      </c>
      <c r="AM1262" s="8"/>
    </row>
    <row r="1263" spans="1:39" s="30" customFormat="1" ht="24.95" customHeight="1">
      <c r="A1263" s="8" t="s">
        <v>1300</v>
      </c>
      <c r="B1263" s="8">
        <v>3</v>
      </c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>
        <f t="shared" si="57"/>
        <v>0</v>
      </c>
      <c r="AL1263" s="8">
        <f t="shared" si="58"/>
        <v>3</v>
      </c>
      <c r="AM1263" s="8"/>
    </row>
    <row r="1264" spans="1:39" s="30" customFormat="1" ht="24.95" customHeight="1">
      <c r="A1264" s="8" t="s">
        <v>1301</v>
      </c>
      <c r="B1264" s="8">
        <v>157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>
        <v>1</v>
      </c>
      <c r="AK1264" s="8">
        <f t="shared" si="57"/>
        <v>-1</v>
      </c>
      <c r="AL1264" s="8">
        <f t="shared" si="58"/>
        <v>156</v>
      </c>
      <c r="AM1264" s="8"/>
    </row>
    <row r="1265" spans="1:39" s="30" customFormat="1" ht="24.95" customHeight="1">
      <c r="A1265" s="8" t="s">
        <v>1302</v>
      </c>
      <c r="B1265" s="8">
        <v>101</v>
      </c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>
        <f t="shared" si="57"/>
        <v>0</v>
      </c>
      <c r="AL1265" s="8">
        <f t="shared" si="58"/>
        <v>101</v>
      </c>
      <c r="AM1265" s="8"/>
    </row>
    <row r="1266" spans="1:39" s="30" customFormat="1" ht="24.95" customHeight="1">
      <c r="A1266" s="8" t="s">
        <v>1303</v>
      </c>
      <c r="B1266" s="8">
        <v>5941</v>
      </c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>
        <v>399</v>
      </c>
      <c r="AK1266" s="8">
        <f t="shared" si="57"/>
        <v>-399</v>
      </c>
      <c r="AL1266" s="8">
        <f t="shared" si="58"/>
        <v>5542</v>
      </c>
      <c r="AM1266" s="8"/>
    </row>
    <row r="1267" spans="1:39" s="30" customFormat="1" ht="24.95" customHeight="1">
      <c r="A1267" s="8" t="s">
        <v>1304</v>
      </c>
      <c r="B1267" s="8">
        <v>62</v>
      </c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>
        <v>3</v>
      </c>
      <c r="AK1267" s="8">
        <f t="shared" si="57"/>
        <v>-3</v>
      </c>
      <c r="AL1267" s="8">
        <f t="shared" si="58"/>
        <v>59</v>
      </c>
      <c r="AM1267" s="8"/>
    </row>
    <row r="1268" spans="1:39" s="30" customFormat="1" ht="24.95" customHeight="1">
      <c r="A1268" s="8" t="s">
        <v>1305</v>
      </c>
      <c r="B1268" s="8">
        <v>105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>
        <f t="shared" si="57"/>
        <v>0</v>
      </c>
      <c r="AL1268" s="8">
        <f t="shared" si="58"/>
        <v>105</v>
      </c>
      <c r="AM1268" s="8"/>
    </row>
    <row r="1269" spans="1:39" s="30" customFormat="1" ht="24.95" customHeight="1">
      <c r="A1269" s="8" t="s">
        <v>1306</v>
      </c>
      <c r="B1269" s="8">
        <v>59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>
        <v>1</v>
      </c>
      <c r="AK1269" s="8">
        <f t="shared" si="57"/>
        <v>-1</v>
      </c>
      <c r="AL1269" s="8">
        <f t="shared" si="58"/>
        <v>58</v>
      </c>
      <c r="AM1269" s="8"/>
    </row>
    <row r="1270" spans="1:39" s="30" customFormat="1" ht="24.95" customHeight="1">
      <c r="A1270" s="8" t="s">
        <v>1307</v>
      </c>
      <c r="B1270" s="8">
        <v>54</v>
      </c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>
        <v>1</v>
      </c>
      <c r="AK1270" s="8">
        <f t="shared" si="57"/>
        <v>-1</v>
      </c>
      <c r="AL1270" s="8">
        <f t="shared" si="58"/>
        <v>53</v>
      </c>
      <c r="AM1270" s="8"/>
    </row>
    <row r="1271" spans="1:39" s="30" customFormat="1" ht="24.95" customHeight="1">
      <c r="A1271" s="8" t="s">
        <v>1308</v>
      </c>
      <c r="B1271" s="8">
        <v>5688</v>
      </c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>
        <v>667</v>
      </c>
      <c r="AK1271" s="8">
        <f t="shared" si="57"/>
        <v>-667</v>
      </c>
      <c r="AL1271" s="8">
        <f t="shared" si="58"/>
        <v>5021</v>
      </c>
      <c r="AM1271" s="8"/>
    </row>
    <row r="1272" spans="1:39" s="30" customFormat="1" ht="24.95" customHeight="1">
      <c r="A1272" s="8" t="s">
        <v>1309</v>
      </c>
      <c r="B1272" s="8">
        <v>2900</v>
      </c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>
        <v>3</v>
      </c>
      <c r="AK1272" s="8">
        <f t="shared" ref="AK1272:AK1340" si="59">SUM((D1272+P1272+G1272+L1272+S1272+X1272+Z1272+AD1272+M1272+J1272+V1272+AB1272+F1272+AG1272+O1272+AI1272)+(-N1272-E1272-R1272-Q1272-T1272-Y1272-AA1272-AE1272-AJ1272-K1272-I1272-H1272-U1272-AC1272-AF1272-AH1272-W1272))</f>
        <v>-3</v>
      </c>
      <c r="AL1272" s="8">
        <f t="shared" ref="AL1272:AL1340" si="60">B1272+AK1272</f>
        <v>2897</v>
      </c>
      <c r="AM1272" s="8"/>
    </row>
    <row r="1273" spans="1:39" s="30" customFormat="1" ht="24.95" customHeight="1">
      <c r="A1273" s="8" t="s">
        <v>1310</v>
      </c>
      <c r="B1273" s="8">
        <v>55</v>
      </c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>
        <v>3</v>
      </c>
      <c r="AK1273" s="8">
        <f t="shared" si="59"/>
        <v>-3</v>
      </c>
      <c r="AL1273" s="8">
        <f t="shared" si="60"/>
        <v>52</v>
      </c>
      <c r="AM1273" s="8"/>
    </row>
    <row r="1274" spans="1:39" s="30" customFormat="1" ht="24.95" customHeight="1">
      <c r="A1274" s="8" t="s">
        <v>1311</v>
      </c>
      <c r="B1274" s="8">
        <v>160</v>
      </c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>
        <f t="shared" si="59"/>
        <v>0</v>
      </c>
      <c r="AL1274" s="8">
        <f t="shared" si="60"/>
        <v>160</v>
      </c>
      <c r="AM1274" s="8"/>
    </row>
    <row r="1275" spans="1:39" s="30" customFormat="1" ht="24.95" customHeight="1">
      <c r="A1275" s="8" t="s">
        <v>1312</v>
      </c>
      <c r="B1275" s="8">
        <v>0</v>
      </c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>
        <f t="shared" si="59"/>
        <v>0</v>
      </c>
      <c r="AL1275" s="8">
        <f t="shared" si="60"/>
        <v>0</v>
      </c>
      <c r="AM1275" s="8"/>
    </row>
    <row r="1276" spans="1:39" s="30" customFormat="1" ht="24.95" customHeight="1">
      <c r="A1276" s="8" t="s">
        <v>1313</v>
      </c>
      <c r="B1276" s="8">
        <v>0</v>
      </c>
      <c r="C1276" s="8"/>
      <c r="D1276" s="8"/>
      <c r="E1276" s="8"/>
      <c r="F1276" s="8"/>
      <c r="G1276" s="8"/>
      <c r="H1276" s="8"/>
      <c r="I1276" s="8"/>
      <c r="J1276" s="8"/>
      <c r="K1276" s="8"/>
      <c r="L1276" s="8">
        <v>200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>
        <f t="shared" si="59"/>
        <v>200</v>
      </c>
      <c r="AL1276" s="8">
        <f t="shared" si="60"/>
        <v>200</v>
      </c>
      <c r="AM1276" s="8"/>
    </row>
    <row r="1277" spans="1:39" s="30" customFormat="1" ht="24.95" customHeight="1">
      <c r="A1277" s="8" t="s">
        <v>1314</v>
      </c>
      <c r="B1277" s="8">
        <v>0</v>
      </c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>
        <f t="shared" si="59"/>
        <v>0</v>
      </c>
      <c r="AL1277" s="8">
        <f t="shared" si="60"/>
        <v>0</v>
      </c>
      <c r="AM1277" s="8"/>
    </row>
    <row r="1278" spans="1:39" s="30" customFormat="1" ht="24.95" customHeight="1">
      <c r="A1278" s="8" t="s">
        <v>1315</v>
      </c>
      <c r="B1278" s="8">
        <v>10531</v>
      </c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>
        <v>658</v>
      </c>
      <c r="AK1278" s="8">
        <f t="shared" si="59"/>
        <v>-658</v>
      </c>
      <c r="AL1278" s="8">
        <f t="shared" si="60"/>
        <v>9873</v>
      </c>
      <c r="AM1278" s="8"/>
    </row>
    <row r="1279" spans="1:39" s="30" customFormat="1" ht="24.95" customHeight="1">
      <c r="A1279" s="8" t="s">
        <v>1316</v>
      </c>
      <c r="B1279" s="8">
        <v>2689</v>
      </c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>
        <v>112</v>
      </c>
      <c r="AK1279" s="8">
        <f t="shared" si="59"/>
        <v>-112</v>
      </c>
      <c r="AL1279" s="8">
        <f t="shared" si="60"/>
        <v>2577</v>
      </c>
      <c r="AM1279" s="8"/>
    </row>
    <row r="1280" spans="1:39" s="30" customFormat="1" ht="24.95" customHeight="1">
      <c r="A1280" s="8" t="s">
        <v>1317</v>
      </c>
      <c r="B1280" s="8">
        <v>7804</v>
      </c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>
        <v>243</v>
      </c>
      <c r="AK1280" s="8">
        <f t="shared" si="59"/>
        <v>-243</v>
      </c>
      <c r="AL1280" s="8">
        <f t="shared" si="60"/>
        <v>7561</v>
      </c>
      <c r="AM1280" s="8"/>
    </row>
    <row r="1281" spans="1:39" s="30" customFormat="1" ht="24.95" customHeight="1">
      <c r="A1281" s="8" t="s">
        <v>1318</v>
      </c>
      <c r="B1281" s="8">
        <v>2560</v>
      </c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>
        <v>8</v>
      </c>
      <c r="AK1281" s="8">
        <f t="shared" si="59"/>
        <v>-8</v>
      </c>
      <c r="AL1281" s="8">
        <f t="shared" si="60"/>
        <v>2552</v>
      </c>
      <c r="AM1281" s="8"/>
    </row>
    <row r="1282" spans="1:39" s="30" customFormat="1" ht="24.95" customHeight="1">
      <c r="A1282" s="8" t="s">
        <v>1319</v>
      </c>
      <c r="B1282" s="8">
        <v>3475</v>
      </c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>
        <v>14</v>
      </c>
      <c r="AK1282" s="8">
        <f t="shared" si="59"/>
        <v>-14</v>
      </c>
      <c r="AL1282" s="8">
        <f t="shared" si="60"/>
        <v>3461</v>
      </c>
      <c r="AM1282" s="8"/>
    </row>
    <row r="1283" spans="1:39" s="30" customFormat="1" ht="24.95" customHeight="1">
      <c r="A1283" s="8" t="s">
        <v>1320</v>
      </c>
      <c r="B1283" s="8">
        <v>3796</v>
      </c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>
        <v>35</v>
      </c>
      <c r="AK1283" s="8">
        <f t="shared" si="59"/>
        <v>-35</v>
      </c>
      <c r="AL1283" s="8">
        <f t="shared" si="60"/>
        <v>3761</v>
      </c>
      <c r="AM1283" s="8"/>
    </row>
    <row r="1284" spans="1:39" s="30" customFormat="1" ht="24.95" customHeight="1">
      <c r="A1284" s="8" t="s">
        <v>1321</v>
      </c>
      <c r="B1284" s="8">
        <v>153</v>
      </c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>
        <f t="shared" si="59"/>
        <v>0</v>
      </c>
      <c r="AL1284" s="8">
        <f t="shared" si="60"/>
        <v>153</v>
      </c>
      <c r="AM1284" s="8"/>
    </row>
    <row r="1285" spans="1:39" s="30" customFormat="1" ht="24.95" customHeight="1">
      <c r="A1285" s="8" t="s">
        <v>1322</v>
      </c>
      <c r="B1285" s="8">
        <v>105</v>
      </c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>
        <v>1</v>
      </c>
      <c r="AK1285" s="8">
        <f t="shared" si="59"/>
        <v>-1</v>
      </c>
      <c r="AL1285" s="8">
        <f t="shared" si="60"/>
        <v>104</v>
      </c>
      <c r="AM1285" s="8"/>
    </row>
    <row r="1286" spans="1:39" s="30" customFormat="1" ht="24.95" customHeight="1">
      <c r="A1286" s="8" t="s">
        <v>1323</v>
      </c>
      <c r="B1286" s="8">
        <v>25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>
        <f t="shared" si="59"/>
        <v>0</v>
      </c>
      <c r="AL1286" s="8">
        <f t="shared" si="60"/>
        <v>25</v>
      </c>
      <c r="AM1286" s="8"/>
    </row>
    <row r="1287" spans="1:39" s="30" customFormat="1" ht="24.95" customHeight="1">
      <c r="A1287" s="8" t="s">
        <v>1324</v>
      </c>
      <c r="B1287" s="8">
        <v>4836</v>
      </c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>
        <v>112</v>
      </c>
      <c r="AK1287" s="8">
        <f t="shared" si="59"/>
        <v>-112</v>
      </c>
      <c r="AL1287" s="8">
        <f t="shared" si="60"/>
        <v>4724</v>
      </c>
      <c r="AM1287" s="8"/>
    </row>
    <row r="1288" spans="1:39" s="30" customFormat="1" ht="24.95" customHeight="1">
      <c r="A1288" s="8" t="s">
        <v>1325</v>
      </c>
      <c r="B1288" s="8">
        <v>167</v>
      </c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>
        <v>5</v>
      </c>
      <c r="AK1288" s="8">
        <f t="shared" si="59"/>
        <v>-5</v>
      </c>
      <c r="AL1288" s="8">
        <f t="shared" si="60"/>
        <v>162</v>
      </c>
      <c r="AM1288" s="8"/>
    </row>
    <row r="1289" spans="1:39" s="30" customFormat="1" ht="24.95" customHeight="1">
      <c r="A1289" s="8" t="s">
        <v>1326</v>
      </c>
      <c r="B1289" s="8">
        <v>159</v>
      </c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>
        <v>1</v>
      </c>
      <c r="AK1289" s="8">
        <f t="shared" si="59"/>
        <v>-1</v>
      </c>
      <c r="AL1289" s="8">
        <f t="shared" si="60"/>
        <v>158</v>
      </c>
      <c r="AM1289" s="8"/>
    </row>
    <row r="1290" spans="1:39" s="30" customFormat="1" ht="24.95" customHeight="1">
      <c r="A1290" s="8" t="s">
        <v>1327</v>
      </c>
      <c r="B1290" s="8">
        <v>155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>
        <v>3</v>
      </c>
      <c r="AK1290" s="8">
        <f t="shared" si="59"/>
        <v>-3</v>
      </c>
      <c r="AL1290" s="8">
        <f t="shared" si="60"/>
        <v>152</v>
      </c>
      <c r="AM1290" s="8"/>
    </row>
    <row r="1291" spans="1:39" s="30" customFormat="1" ht="24.95" customHeight="1">
      <c r="A1291" s="8" t="s">
        <v>1328</v>
      </c>
      <c r="B1291" s="8">
        <v>146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>
        <v>2</v>
      </c>
      <c r="AK1291" s="8">
        <f t="shared" si="59"/>
        <v>-2</v>
      </c>
      <c r="AL1291" s="8">
        <f t="shared" si="60"/>
        <v>144</v>
      </c>
      <c r="AM1291" s="8"/>
    </row>
    <row r="1292" spans="1:39" s="30" customFormat="1" ht="24.95" customHeight="1">
      <c r="A1292" s="8" t="s">
        <v>1329</v>
      </c>
      <c r="B1292" s="8">
        <v>99</v>
      </c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>
        <f t="shared" si="59"/>
        <v>0</v>
      </c>
      <c r="AL1292" s="8">
        <f t="shared" si="60"/>
        <v>99</v>
      </c>
      <c r="AM1292" s="8"/>
    </row>
    <row r="1293" spans="1:39" s="30" customFormat="1" ht="24.95" customHeight="1">
      <c r="A1293" s="8" t="s">
        <v>1330</v>
      </c>
      <c r="B1293" s="8">
        <v>5801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>
        <v>304</v>
      </c>
      <c r="AK1293" s="8">
        <f t="shared" si="59"/>
        <v>-304</v>
      </c>
      <c r="AL1293" s="8">
        <f t="shared" si="60"/>
        <v>5497</v>
      </c>
      <c r="AM1293" s="8"/>
    </row>
    <row r="1294" spans="1:39" s="30" customFormat="1" ht="24.95" customHeight="1">
      <c r="A1294" s="8" t="s">
        <v>1331</v>
      </c>
      <c r="B1294" s="8">
        <v>167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>
        <f t="shared" si="59"/>
        <v>0</v>
      </c>
      <c r="AL1294" s="8">
        <f t="shared" si="60"/>
        <v>167</v>
      </c>
      <c r="AM1294" s="8"/>
    </row>
    <row r="1295" spans="1:39" s="30" customFormat="1" ht="24.95" customHeight="1">
      <c r="A1295" s="8" t="s">
        <v>1332</v>
      </c>
      <c r="B1295" s="8">
        <v>126</v>
      </c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>
        <v>1</v>
      </c>
      <c r="AK1295" s="8">
        <f t="shared" si="59"/>
        <v>-1</v>
      </c>
      <c r="AL1295" s="8">
        <f t="shared" si="60"/>
        <v>125</v>
      </c>
      <c r="AM1295" s="8"/>
    </row>
    <row r="1296" spans="1:39" s="30" customFormat="1" ht="24.95" customHeight="1">
      <c r="A1296" s="8" t="s">
        <v>1333</v>
      </c>
      <c r="B1296" s="8">
        <v>174</v>
      </c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>
        <v>1</v>
      </c>
      <c r="AK1296" s="8">
        <f t="shared" si="59"/>
        <v>-1</v>
      </c>
      <c r="AL1296" s="8">
        <f t="shared" si="60"/>
        <v>173</v>
      </c>
      <c r="AM1296" s="8"/>
    </row>
    <row r="1297" spans="1:39" s="30" customFormat="1" ht="24.95" customHeight="1">
      <c r="A1297" s="8" t="s">
        <v>1334</v>
      </c>
      <c r="B1297" s="8">
        <v>9770</v>
      </c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>
        <v>1370</v>
      </c>
      <c r="AK1297" s="8">
        <f t="shared" si="59"/>
        <v>-1370</v>
      </c>
      <c r="AL1297" s="8">
        <f t="shared" si="60"/>
        <v>8400</v>
      </c>
      <c r="AM1297" s="8"/>
    </row>
    <row r="1298" spans="1:39" s="30" customFormat="1" ht="24.95" customHeight="1">
      <c r="A1298" s="8" t="s">
        <v>1335</v>
      </c>
      <c r="B1298" s="8">
        <v>3567</v>
      </c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>
        <v>47</v>
      </c>
      <c r="AK1298" s="8">
        <f t="shared" si="59"/>
        <v>-47</v>
      </c>
      <c r="AL1298" s="8">
        <f t="shared" si="60"/>
        <v>3520</v>
      </c>
      <c r="AM1298" s="8"/>
    </row>
    <row r="1299" spans="1:39" s="30" customFormat="1" ht="24.95" customHeight="1">
      <c r="A1299" s="8" t="s">
        <v>1336</v>
      </c>
      <c r="B1299" s="8">
        <v>17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>
        <f t="shared" si="59"/>
        <v>0</v>
      </c>
      <c r="AL1299" s="8">
        <f t="shared" si="60"/>
        <v>17</v>
      </c>
      <c r="AM1299" s="8"/>
    </row>
    <row r="1300" spans="1:39" s="30" customFormat="1" ht="24.95" customHeight="1">
      <c r="A1300" s="8" t="s">
        <v>1337</v>
      </c>
      <c r="B1300" s="8">
        <v>0</v>
      </c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>
        <f t="shared" si="59"/>
        <v>0</v>
      </c>
      <c r="AL1300" s="8">
        <f t="shared" si="60"/>
        <v>0</v>
      </c>
      <c r="AM1300" s="8"/>
    </row>
    <row r="1301" spans="1:39" s="30" customFormat="1" ht="24.95" customHeight="1">
      <c r="A1301" s="8" t="s">
        <v>1338</v>
      </c>
      <c r="B1301" s="8">
        <v>52</v>
      </c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>
        <v>2</v>
      </c>
      <c r="AK1301" s="8">
        <f t="shared" si="59"/>
        <v>-2</v>
      </c>
      <c r="AL1301" s="8">
        <f t="shared" si="60"/>
        <v>50</v>
      </c>
      <c r="AM1301" s="8"/>
    </row>
    <row r="1302" spans="1:39" s="30" customFormat="1" ht="24.95" customHeight="1">
      <c r="A1302" s="8" t="s">
        <v>1339</v>
      </c>
      <c r="B1302" s="8">
        <v>188</v>
      </c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>
        <v>46</v>
      </c>
      <c r="AK1302" s="8">
        <f t="shared" si="59"/>
        <v>-46</v>
      </c>
      <c r="AL1302" s="8">
        <f t="shared" si="60"/>
        <v>142</v>
      </c>
      <c r="AM1302" s="8"/>
    </row>
    <row r="1303" spans="1:39" s="30" customFormat="1" ht="24.95" customHeight="1">
      <c r="A1303" s="8" t="s">
        <v>1340</v>
      </c>
      <c r="B1303" s="8">
        <v>306</v>
      </c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>
        <v>2</v>
      </c>
      <c r="AK1303" s="8">
        <f t="shared" si="59"/>
        <v>-2</v>
      </c>
      <c r="AL1303" s="8">
        <f t="shared" si="60"/>
        <v>304</v>
      </c>
      <c r="AM1303" s="8"/>
    </row>
    <row r="1304" spans="1:39" s="30" customFormat="1" ht="23.25" customHeight="1">
      <c r="A1304" s="8" t="s">
        <v>1341</v>
      </c>
      <c r="B1304" s="8">
        <v>37</v>
      </c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>
        <v>6</v>
      </c>
      <c r="AK1304" s="8">
        <f t="shared" si="59"/>
        <v>-6</v>
      </c>
      <c r="AL1304" s="8">
        <f t="shared" si="60"/>
        <v>31</v>
      </c>
      <c r="AM1304" s="8"/>
    </row>
    <row r="1305" spans="1:39" s="30" customFormat="1" ht="24.95" customHeight="1">
      <c r="A1305" s="8" t="s">
        <v>1342</v>
      </c>
      <c r="B1305" s="8">
        <v>157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>
        <f t="shared" si="59"/>
        <v>0</v>
      </c>
      <c r="AL1305" s="8">
        <f t="shared" si="60"/>
        <v>157</v>
      </c>
      <c r="AM1305" s="8"/>
    </row>
    <row r="1306" spans="1:39" s="30" customFormat="1" ht="24.95" customHeight="1">
      <c r="A1306" s="8" t="s">
        <v>1343</v>
      </c>
      <c r="B1306" s="8">
        <v>133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>
        <v>57</v>
      </c>
      <c r="AK1306" s="8">
        <f t="shared" si="59"/>
        <v>-57</v>
      </c>
      <c r="AL1306" s="8">
        <f t="shared" si="60"/>
        <v>76</v>
      </c>
      <c r="AM1306" s="8"/>
    </row>
    <row r="1307" spans="1:39" s="30" customFormat="1" ht="24.95" customHeight="1">
      <c r="A1307" s="8" t="s">
        <v>1344</v>
      </c>
      <c r="B1307" s="8">
        <v>1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>
        <f t="shared" si="59"/>
        <v>0</v>
      </c>
      <c r="AL1307" s="8">
        <f t="shared" si="60"/>
        <v>1</v>
      </c>
      <c r="AM1307" s="8"/>
    </row>
    <row r="1308" spans="1:39" s="30" customFormat="1" ht="24.95" customHeight="1">
      <c r="A1308" s="8" t="s">
        <v>1345</v>
      </c>
      <c r="B1308" s="8">
        <v>194</v>
      </c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>
        <v>62</v>
      </c>
      <c r="AK1308" s="8">
        <f t="shared" si="59"/>
        <v>-62</v>
      </c>
      <c r="AL1308" s="8">
        <f t="shared" si="60"/>
        <v>132</v>
      </c>
      <c r="AM1308" s="8"/>
    </row>
    <row r="1309" spans="1:39" s="30" customFormat="1" ht="24.95" customHeight="1">
      <c r="A1309" s="8" t="s">
        <v>1346</v>
      </c>
      <c r="B1309" s="8">
        <v>2</v>
      </c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>
        <f t="shared" si="59"/>
        <v>0</v>
      </c>
      <c r="AL1309" s="8">
        <f t="shared" si="60"/>
        <v>2</v>
      </c>
      <c r="AM1309" s="8"/>
    </row>
    <row r="1310" spans="1:39" s="30" customFormat="1" ht="24.95" customHeight="1">
      <c r="A1310" s="8" t="s">
        <v>1347</v>
      </c>
      <c r="B1310" s="8">
        <v>3712</v>
      </c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>
        <v>122</v>
      </c>
      <c r="AK1310" s="8">
        <f t="shared" si="59"/>
        <v>-122</v>
      </c>
      <c r="AL1310" s="8">
        <f t="shared" si="60"/>
        <v>3590</v>
      </c>
      <c r="AM1310" s="8"/>
    </row>
    <row r="1311" spans="1:39" s="30" customFormat="1" ht="24.95" customHeight="1">
      <c r="A1311" s="8" t="s">
        <v>1348</v>
      </c>
      <c r="B1311" s="8">
        <v>129</v>
      </c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>
        <v>4</v>
      </c>
      <c r="AK1311" s="8">
        <f t="shared" si="59"/>
        <v>-4</v>
      </c>
      <c r="AL1311" s="8">
        <f t="shared" si="60"/>
        <v>125</v>
      </c>
      <c r="AM1311" s="8"/>
    </row>
    <row r="1312" spans="1:39" s="30" customFormat="1" ht="24.95" customHeight="1">
      <c r="A1312" s="8" t="s">
        <v>1349</v>
      </c>
      <c r="B1312" s="8">
        <v>8</v>
      </c>
      <c r="C1312" s="8"/>
      <c r="D1312" s="8"/>
      <c r="E1312" s="8"/>
      <c r="F1312" s="8"/>
      <c r="G1312" s="8"/>
      <c r="H1312" s="8"/>
      <c r="I1312" s="8"/>
      <c r="J1312" s="8"/>
      <c r="K1312" s="8"/>
      <c r="L1312" s="8">
        <v>4000</v>
      </c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>
        <v>54</v>
      </c>
      <c r="AK1312" s="8">
        <f t="shared" si="59"/>
        <v>3946</v>
      </c>
      <c r="AL1312" s="8">
        <f t="shared" si="60"/>
        <v>3954</v>
      </c>
      <c r="AM1312" s="8"/>
    </row>
    <row r="1313" spans="1:39" s="30" customFormat="1" ht="26.25" customHeight="1">
      <c r="A1313" s="8" t="s">
        <v>1350</v>
      </c>
      <c r="B1313" s="8">
        <v>1</v>
      </c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>
        <f t="shared" si="59"/>
        <v>0</v>
      </c>
      <c r="AL1313" s="8">
        <f t="shared" si="60"/>
        <v>1</v>
      </c>
      <c r="AM1313" s="8"/>
    </row>
    <row r="1314" spans="1:39" s="30" customFormat="1" ht="26.25" customHeight="1">
      <c r="A1314" s="8" t="s">
        <v>1351</v>
      </c>
      <c r="B1314" s="8">
        <v>143</v>
      </c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>
        <f t="shared" si="59"/>
        <v>0</v>
      </c>
      <c r="AL1314" s="8">
        <f t="shared" si="60"/>
        <v>143</v>
      </c>
      <c r="AM1314" s="8"/>
    </row>
    <row r="1315" spans="1:39" s="30" customFormat="1" ht="26.25" customHeight="1">
      <c r="A1315" s="8" t="s">
        <v>1352</v>
      </c>
      <c r="B1315" s="8">
        <v>58</v>
      </c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>
        <v>2</v>
      </c>
      <c r="AK1315" s="8">
        <f t="shared" si="59"/>
        <v>-2</v>
      </c>
      <c r="AL1315" s="8">
        <f t="shared" si="60"/>
        <v>56</v>
      </c>
      <c r="AM1315" s="8"/>
    </row>
    <row r="1316" spans="1:39" s="30" customFormat="1" ht="26.25" customHeight="1">
      <c r="A1316" s="8" t="s">
        <v>1353</v>
      </c>
      <c r="B1316" s="8">
        <v>71</v>
      </c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>
        <v>1</v>
      </c>
      <c r="AK1316" s="8">
        <f t="shared" si="59"/>
        <v>-1</v>
      </c>
      <c r="AL1316" s="8">
        <f t="shared" si="60"/>
        <v>70</v>
      </c>
      <c r="AM1316" s="8"/>
    </row>
    <row r="1317" spans="1:39" s="30" customFormat="1" ht="26.25" customHeight="1">
      <c r="A1317" s="8" t="s">
        <v>1354</v>
      </c>
      <c r="B1317" s="8">
        <v>106</v>
      </c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>
        <v>2</v>
      </c>
      <c r="AK1317" s="8">
        <f t="shared" si="59"/>
        <v>-2</v>
      </c>
      <c r="AL1317" s="8">
        <f t="shared" si="60"/>
        <v>104</v>
      </c>
      <c r="AM1317" s="8"/>
    </row>
    <row r="1318" spans="1:39" s="30" customFormat="1" ht="26.25" customHeight="1">
      <c r="A1318" s="8" t="s">
        <v>1355</v>
      </c>
      <c r="B1318" s="8">
        <v>200</v>
      </c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>
        <f t="shared" si="59"/>
        <v>0</v>
      </c>
      <c r="AL1318" s="8">
        <f t="shared" si="60"/>
        <v>200</v>
      </c>
      <c r="AM1318" s="8"/>
    </row>
    <row r="1319" spans="1:39" s="30" customFormat="1" ht="26.25" customHeight="1">
      <c r="A1319" s="8" t="s">
        <v>1356</v>
      </c>
      <c r="B1319" s="8">
        <v>200</v>
      </c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>
        <f t="shared" si="59"/>
        <v>0</v>
      </c>
      <c r="AL1319" s="8">
        <f t="shared" si="60"/>
        <v>200</v>
      </c>
      <c r="AM1319" s="8"/>
    </row>
    <row r="1320" spans="1:39" s="30" customFormat="1" ht="26.25" customHeight="1">
      <c r="A1320" s="8" t="s">
        <v>1357</v>
      </c>
      <c r="B1320" s="8">
        <v>200</v>
      </c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>
        <f t="shared" si="59"/>
        <v>0</v>
      </c>
      <c r="AL1320" s="8">
        <f t="shared" si="60"/>
        <v>200</v>
      </c>
      <c r="AM1320" s="8"/>
    </row>
    <row r="1321" spans="1:39" s="30" customFormat="1" ht="26.25" customHeight="1">
      <c r="A1321" s="8" t="s">
        <v>1358</v>
      </c>
      <c r="B1321" s="8">
        <v>200</v>
      </c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>
        <f t="shared" si="59"/>
        <v>0</v>
      </c>
      <c r="AL1321" s="8">
        <f t="shared" si="60"/>
        <v>200</v>
      </c>
      <c r="AM1321" s="8"/>
    </row>
    <row r="1322" spans="1:39" s="30" customFormat="1" ht="26.25" customHeight="1">
      <c r="A1322" s="8" t="s">
        <v>1359</v>
      </c>
      <c r="B1322" s="8">
        <v>2851</v>
      </c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>
        <v>612</v>
      </c>
      <c r="AK1322" s="8">
        <f t="shared" si="59"/>
        <v>-612</v>
      </c>
      <c r="AL1322" s="8">
        <f t="shared" si="60"/>
        <v>2239</v>
      </c>
      <c r="AM1322" s="8"/>
    </row>
    <row r="1323" spans="1:39" s="30" customFormat="1" ht="26.25" customHeight="1">
      <c r="A1323" s="8" t="s">
        <v>1360</v>
      </c>
      <c r="B1323" s="8">
        <v>3721</v>
      </c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>
        <v>65</v>
      </c>
      <c r="AK1323" s="8">
        <f t="shared" si="59"/>
        <v>-65</v>
      </c>
      <c r="AL1323" s="8">
        <f t="shared" si="60"/>
        <v>3656</v>
      </c>
      <c r="AM1323" s="8"/>
    </row>
    <row r="1324" spans="1:39" s="30" customFormat="1" ht="26.25" customHeight="1">
      <c r="A1324" s="8" t="s">
        <v>1361</v>
      </c>
      <c r="B1324" s="8">
        <v>3</v>
      </c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>
        <f t="shared" si="59"/>
        <v>0</v>
      </c>
      <c r="AL1324" s="8">
        <f t="shared" si="60"/>
        <v>3</v>
      </c>
      <c r="AM1324" s="8"/>
    </row>
    <row r="1325" spans="1:39" s="30" customFormat="1" ht="26.25" customHeight="1">
      <c r="A1325" s="8" t="s">
        <v>1362</v>
      </c>
      <c r="B1325" s="8">
        <v>132</v>
      </c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>
        <v>2</v>
      </c>
      <c r="AK1325" s="8">
        <f t="shared" si="59"/>
        <v>-2</v>
      </c>
      <c r="AL1325" s="8">
        <f t="shared" si="60"/>
        <v>130</v>
      </c>
      <c r="AM1325" s="8"/>
    </row>
    <row r="1326" spans="1:39" s="30" customFormat="1" ht="26.25" customHeight="1">
      <c r="A1326" s="8" t="s">
        <v>1363</v>
      </c>
      <c r="B1326" s="8">
        <v>189</v>
      </c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>
        <v>38</v>
      </c>
      <c r="AK1326" s="8">
        <f t="shared" si="59"/>
        <v>-38</v>
      </c>
      <c r="AL1326" s="8">
        <f t="shared" si="60"/>
        <v>151</v>
      </c>
      <c r="AM1326" s="8"/>
    </row>
    <row r="1327" spans="1:39" s="30" customFormat="1" ht="26.25" customHeight="1">
      <c r="A1327" s="8" t="s">
        <v>1364</v>
      </c>
      <c r="B1327" s="8">
        <v>197</v>
      </c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>
        <v>7</v>
      </c>
      <c r="AK1327" s="8">
        <f t="shared" si="59"/>
        <v>-7</v>
      </c>
      <c r="AL1327" s="8">
        <f t="shared" si="60"/>
        <v>190</v>
      </c>
      <c r="AM1327" s="8"/>
    </row>
    <row r="1328" spans="1:39" s="30" customFormat="1" ht="26.25" customHeight="1">
      <c r="A1328" s="8" t="s">
        <v>1365</v>
      </c>
      <c r="B1328" s="8">
        <v>198</v>
      </c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>
        <v>7</v>
      </c>
      <c r="AK1328" s="8">
        <f t="shared" si="59"/>
        <v>-7</v>
      </c>
      <c r="AL1328" s="8">
        <f t="shared" si="60"/>
        <v>191</v>
      </c>
      <c r="AM1328" s="8"/>
    </row>
    <row r="1329" spans="1:39" s="30" customFormat="1" ht="26.25" customHeight="1">
      <c r="A1329" s="8" t="s">
        <v>1366</v>
      </c>
      <c r="B1329" s="8">
        <v>200</v>
      </c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>
        <f t="shared" si="59"/>
        <v>0</v>
      </c>
      <c r="AL1329" s="8">
        <f t="shared" si="60"/>
        <v>200</v>
      </c>
      <c r="AM1329" s="8"/>
    </row>
    <row r="1330" spans="1:39" s="30" customFormat="1" ht="26.25" customHeight="1">
      <c r="A1330" s="8" t="s">
        <v>1367</v>
      </c>
      <c r="B1330" s="8">
        <v>200</v>
      </c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>
        <f t="shared" si="59"/>
        <v>0</v>
      </c>
      <c r="AL1330" s="8">
        <f t="shared" si="60"/>
        <v>200</v>
      </c>
      <c r="AM1330" s="8"/>
    </row>
    <row r="1331" spans="1:39" s="30" customFormat="1" ht="26.25" customHeight="1">
      <c r="A1331" s="31" t="s">
        <v>1368</v>
      </c>
      <c r="B1331" s="8">
        <v>200</v>
      </c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>
        <f t="shared" si="59"/>
        <v>0</v>
      </c>
      <c r="AL1331" s="8">
        <f t="shared" si="60"/>
        <v>200</v>
      </c>
      <c r="AM1331" s="8"/>
    </row>
    <row r="1332" spans="1:39" s="30" customFormat="1" ht="26.25" customHeight="1">
      <c r="A1332" s="8" t="s">
        <v>1369</v>
      </c>
      <c r="B1332" s="8">
        <v>200</v>
      </c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>
        <v>22</v>
      </c>
      <c r="AK1332" s="8">
        <f t="shared" si="59"/>
        <v>-22</v>
      </c>
      <c r="AL1332" s="8">
        <f t="shared" si="60"/>
        <v>178</v>
      </c>
      <c r="AM1332" s="8"/>
    </row>
    <row r="1333" spans="1:39" s="30" customFormat="1" ht="26.25" customHeight="1">
      <c r="A1333" s="8" t="s">
        <v>1370</v>
      </c>
      <c r="B1333" s="8">
        <v>200</v>
      </c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>
        <f t="shared" si="59"/>
        <v>0</v>
      </c>
      <c r="AL1333" s="8">
        <f t="shared" si="60"/>
        <v>200</v>
      </c>
      <c r="AM1333" s="8"/>
    </row>
    <row r="1334" spans="1:39" s="30" customFormat="1" ht="26.25" customHeight="1">
      <c r="A1334" s="8" t="s">
        <v>1371</v>
      </c>
      <c r="B1334" s="8">
        <v>200</v>
      </c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>
        <f t="shared" si="59"/>
        <v>0</v>
      </c>
      <c r="AL1334" s="8">
        <f t="shared" si="60"/>
        <v>200</v>
      </c>
      <c r="AM1334" s="8"/>
    </row>
    <row r="1335" spans="1:39" s="30" customFormat="1" ht="26.25" customHeight="1">
      <c r="A1335" s="8" t="s">
        <v>1372</v>
      </c>
      <c r="B1335" s="8">
        <v>3298</v>
      </c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>
        <v>126</v>
      </c>
      <c r="AK1335" s="8">
        <f t="shared" si="59"/>
        <v>-126</v>
      </c>
      <c r="AL1335" s="8">
        <f t="shared" si="60"/>
        <v>3172</v>
      </c>
      <c r="AM1335" s="8"/>
    </row>
    <row r="1336" spans="1:39" s="30" customFormat="1" ht="26.25" customHeight="1">
      <c r="A1336" s="8" t="s">
        <v>1373</v>
      </c>
      <c r="B1336" s="8">
        <v>91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>
        <v>3</v>
      </c>
      <c r="AK1336" s="8">
        <f t="shared" si="59"/>
        <v>-3</v>
      </c>
      <c r="AL1336" s="8">
        <f t="shared" si="60"/>
        <v>88</v>
      </c>
      <c r="AM1336" s="8"/>
    </row>
    <row r="1337" spans="1:39" s="30" customFormat="1" ht="26.25" customHeight="1">
      <c r="A1337" s="8" t="s">
        <v>1374</v>
      </c>
      <c r="B1337" s="8">
        <v>6598</v>
      </c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>
        <v>79</v>
      </c>
      <c r="AK1337" s="8">
        <f t="shared" si="59"/>
        <v>-79</v>
      </c>
      <c r="AL1337" s="8">
        <f t="shared" si="60"/>
        <v>6519</v>
      </c>
      <c r="AM1337" s="8"/>
    </row>
    <row r="1338" spans="1:39" ht="24.75" customHeight="1">
      <c r="A1338" s="17" t="s">
        <v>1375</v>
      </c>
      <c r="B1338" s="8">
        <v>1117</v>
      </c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18"/>
      <c r="N1338" s="8"/>
      <c r="O1338" s="8"/>
      <c r="P1338" s="8"/>
      <c r="Q1338" s="8"/>
      <c r="R1338" s="8"/>
      <c r="S1338" s="8"/>
      <c r="T1338" s="8"/>
      <c r="U1338" s="18"/>
      <c r="V1338" s="18"/>
      <c r="W1338" s="18"/>
      <c r="X1338" s="18"/>
      <c r="Y1338" s="18"/>
      <c r="Z1338" s="8"/>
      <c r="AA1338" s="18"/>
      <c r="AB1338" s="18"/>
      <c r="AC1338" s="8">
        <f>+AB1338</f>
        <v>0</v>
      </c>
      <c r="AD1338" s="18"/>
      <c r="AE1338" s="18"/>
      <c r="AF1338" s="8"/>
      <c r="AG1338" s="18"/>
      <c r="AH1338" s="8"/>
      <c r="AI1338" s="8"/>
      <c r="AJ1338" s="8"/>
      <c r="AK1338" s="8">
        <f t="shared" si="59"/>
        <v>0</v>
      </c>
      <c r="AL1338" s="8">
        <f t="shared" si="60"/>
        <v>1117</v>
      </c>
      <c r="AM1338" s="9"/>
    </row>
    <row r="1339" spans="1:39" ht="24.95" customHeight="1">
      <c r="A1339" s="7" t="s">
        <v>1376</v>
      </c>
      <c r="B1339" s="8">
        <v>2908</v>
      </c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18"/>
      <c r="N1339" s="8"/>
      <c r="O1339" s="8"/>
      <c r="P1339" s="8"/>
      <c r="Q1339" s="8"/>
      <c r="R1339" s="8"/>
      <c r="S1339" s="8"/>
      <c r="T1339" s="8"/>
      <c r="U1339" s="18"/>
      <c r="V1339" s="18"/>
      <c r="W1339" s="18"/>
      <c r="X1339" s="18"/>
      <c r="Y1339" s="18">
        <v>2</v>
      </c>
      <c r="Z1339" s="8"/>
      <c r="AA1339" s="18"/>
      <c r="AB1339" s="18"/>
      <c r="AC1339" s="8">
        <f>+AB1339</f>
        <v>0</v>
      </c>
      <c r="AD1339" s="18"/>
      <c r="AE1339" s="18"/>
      <c r="AF1339" s="8"/>
      <c r="AG1339" s="18"/>
      <c r="AH1339" s="8"/>
      <c r="AI1339" s="8"/>
      <c r="AJ1339" s="8"/>
      <c r="AK1339" s="8">
        <f t="shared" si="59"/>
        <v>-2</v>
      </c>
      <c r="AL1339" s="8">
        <f t="shared" si="60"/>
        <v>2906</v>
      </c>
      <c r="AM1339" s="9"/>
    </row>
    <row r="1340" spans="1:39" ht="24.95" customHeight="1" thickBot="1">
      <c r="A1340" s="32" t="s">
        <v>1377</v>
      </c>
      <c r="B1340" s="8">
        <v>0</v>
      </c>
      <c r="C1340" s="8"/>
      <c r="D1340" s="8"/>
      <c r="E1340" s="8"/>
      <c r="F1340" s="33"/>
      <c r="G1340" s="8"/>
      <c r="H1340" s="8"/>
      <c r="I1340" s="33"/>
      <c r="J1340" s="33"/>
      <c r="K1340" s="33"/>
      <c r="L1340" s="8"/>
      <c r="M1340" s="34"/>
      <c r="N1340" s="8"/>
      <c r="O1340" s="8"/>
      <c r="P1340" s="33"/>
      <c r="Q1340" s="33"/>
      <c r="R1340" s="8"/>
      <c r="S1340" s="33"/>
      <c r="T1340" s="33"/>
      <c r="U1340" s="34"/>
      <c r="V1340" s="34"/>
      <c r="W1340" s="34"/>
      <c r="X1340" s="34">
        <f>+Y1339*2+Y1338*3</f>
        <v>4</v>
      </c>
      <c r="Y1340" s="34"/>
      <c r="Z1340" s="33"/>
      <c r="AA1340" s="34">
        <f>+Z1338*3</f>
        <v>0</v>
      </c>
      <c r="AB1340" s="34"/>
      <c r="AC1340" s="33">
        <f>+AB1340</f>
        <v>0</v>
      </c>
      <c r="AD1340" s="34"/>
      <c r="AE1340" s="34"/>
      <c r="AF1340" s="8"/>
      <c r="AG1340" s="34"/>
      <c r="AH1340" s="33"/>
      <c r="AI1340" s="33"/>
      <c r="AJ1340" s="8">
        <v>3</v>
      </c>
      <c r="AK1340" s="8">
        <f t="shared" si="59"/>
        <v>1</v>
      </c>
      <c r="AL1340" s="8">
        <f t="shared" si="60"/>
        <v>1</v>
      </c>
      <c r="AM1340" s="35"/>
    </row>
    <row r="1341" spans="1:39" s="39" customFormat="1" ht="24.95" customHeight="1" thickTop="1">
      <c r="A1341" s="36" t="s">
        <v>36</v>
      </c>
      <c r="B1341" s="36">
        <f>SUM(B2:B1340)</f>
        <v>1178790</v>
      </c>
      <c r="C1341" s="36">
        <f t="shared" ref="C1341:AI1341" si="61">SUM(C2:C1340)</f>
        <v>0</v>
      </c>
      <c r="D1341" s="36">
        <f t="shared" si="61"/>
        <v>0</v>
      </c>
      <c r="E1341" s="36">
        <f t="shared" si="61"/>
        <v>0</v>
      </c>
      <c r="F1341" s="36">
        <f t="shared" si="61"/>
        <v>0</v>
      </c>
      <c r="G1341" s="36">
        <f t="shared" si="61"/>
        <v>0</v>
      </c>
      <c r="H1341" s="36">
        <f t="shared" si="61"/>
        <v>0</v>
      </c>
      <c r="I1341" s="36">
        <f t="shared" si="61"/>
        <v>0</v>
      </c>
      <c r="J1341" s="36">
        <f t="shared" si="61"/>
        <v>0</v>
      </c>
      <c r="K1341" s="36">
        <f t="shared" si="61"/>
        <v>0</v>
      </c>
      <c r="L1341" s="36">
        <f t="shared" si="61"/>
        <v>17200</v>
      </c>
      <c r="M1341" s="36">
        <f t="shared" si="61"/>
        <v>2</v>
      </c>
      <c r="N1341" s="36">
        <f t="shared" si="61"/>
        <v>0</v>
      </c>
      <c r="O1341" s="36">
        <f t="shared" si="61"/>
        <v>0</v>
      </c>
      <c r="P1341" s="36">
        <f t="shared" si="61"/>
        <v>0</v>
      </c>
      <c r="Q1341" s="36">
        <f t="shared" si="61"/>
        <v>0</v>
      </c>
      <c r="R1341" s="36">
        <f t="shared" si="61"/>
        <v>2461</v>
      </c>
      <c r="S1341" s="36">
        <f t="shared" si="61"/>
        <v>0</v>
      </c>
      <c r="T1341" s="36">
        <f t="shared" si="61"/>
        <v>0</v>
      </c>
      <c r="U1341" s="36">
        <f t="shared" si="61"/>
        <v>0</v>
      </c>
      <c r="V1341" s="36">
        <f t="shared" si="61"/>
        <v>0</v>
      </c>
      <c r="W1341" s="36">
        <f t="shared" si="61"/>
        <v>0</v>
      </c>
      <c r="X1341" s="36">
        <f t="shared" si="61"/>
        <v>1372</v>
      </c>
      <c r="Y1341" s="36">
        <f t="shared" si="61"/>
        <v>686</v>
      </c>
      <c r="Z1341" s="36">
        <f t="shared" si="61"/>
        <v>654</v>
      </c>
      <c r="AA1341" s="36">
        <f t="shared" si="61"/>
        <v>1564</v>
      </c>
      <c r="AB1341" s="36">
        <f t="shared" si="61"/>
        <v>0</v>
      </c>
      <c r="AC1341" s="36">
        <f t="shared" si="61"/>
        <v>0</v>
      </c>
      <c r="AD1341" s="36">
        <f t="shared" si="61"/>
        <v>30</v>
      </c>
      <c r="AE1341" s="36">
        <f t="shared" si="61"/>
        <v>30</v>
      </c>
      <c r="AF1341" s="36">
        <f t="shared" si="61"/>
        <v>0</v>
      </c>
      <c r="AG1341" s="36">
        <f t="shared" si="61"/>
        <v>0</v>
      </c>
      <c r="AH1341" s="36">
        <f t="shared" si="61"/>
        <v>0</v>
      </c>
      <c r="AI1341" s="36">
        <f t="shared" si="61"/>
        <v>0</v>
      </c>
      <c r="AJ1341" s="36">
        <f>SUM(AJ2:AJ1340)</f>
        <v>23979</v>
      </c>
      <c r="AK1341" s="37">
        <f>SUM((D1341+P1341+G1341+L1341+S1341+X1341+Z1341+AD1341+M1341+J1341+V1341+AB1341+F1341+AG1341+O1341+AI1341)+(-N1341-E1341-R1341-Q1341-T1341-Y1341-AA1341-AE1341-AJ1341-K1341-I1341-H1341-U1341-AC1341-AF1341-AH1341))</f>
        <v>-9462</v>
      </c>
      <c r="AL1341" s="38">
        <f>SUM(AL2:AL1340)</f>
        <v>1169328</v>
      </c>
      <c r="AM1341" s="36"/>
    </row>
    <row r="1342" spans="1:39" s="40" customFormat="1" ht="24.95" customHeight="1">
      <c r="C1342" s="41"/>
      <c r="H1342" s="41"/>
      <c r="Y1342" s="41"/>
      <c r="AL1342" s="42"/>
    </row>
    <row r="1343" spans="1:39" s="40" customFormat="1" ht="24.95" customHeight="1">
      <c r="H1343" s="41"/>
      <c r="Y1343" s="41"/>
      <c r="AK1343" s="40" t="s">
        <v>1378</v>
      </c>
    </row>
    <row r="1349" spans="8:25" s="40" customFormat="1" ht="24.95" customHeight="1">
      <c r="H1349" s="41"/>
      <c r="S1349" s="10"/>
      <c r="Y1349" s="41"/>
    </row>
  </sheetData>
  <autoFilter ref="A1:AM1341" xr:uid="{671C0DEE-AFEE-4654-8387-951905E920C1}"/>
  <phoneticPr fontId="3" type="noConversion"/>
  <conditionalFormatting sqref="A1331">
    <cfRule type="expression" dxfId="3" priority="3">
      <formula>MOD(ROW(), 2)</formula>
    </cfRule>
    <cfRule type="colorScale" priority="4">
      <colorScale>
        <cfvo type="min"/>
        <cfvo type="max"/>
        <color rgb="FFFF0000"/>
        <color rgb="FFFF0000"/>
      </colorScale>
    </cfRule>
    <cfRule type="expression" dxfId="2" priority="5">
      <formula>MOD(ROW(), 2)</formula>
    </cfRule>
    <cfRule type="colorScale" priority="6">
      <colorScale>
        <cfvo type="min"/>
        <cfvo type="max"/>
        <color rgb="FFFF0000"/>
        <color rgb="FFFF0000"/>
      </colorScale>
    </cfRule>
  </conditionalFormatting>
  <conditionalFormatting sqref="B2:B1340">
    <cfRule type="cellIs" dxfId="1" priority="1" operator="lessThan">
      <formula>0</formula>
    </cfRule>
  </conditionalFormatting>
  <conditionalFormatting sqref="AL1:AL1048576">
    <cfRule type="cellIs" dxfId="0" priority="2" operator="lessThan">
      <formula>0</formula>
    </cfRule>
  </conditionalFormatting>
  <pageMargins left="0.7" right="0.7" top="0.75" bottom="0.75" header="0.3" footer="0.3"/>
  <pageSetup paperSize="259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현석</dc:creator>
  <cp:lastModifiedBy>최 현석</cp:lastModifiedBy>
  <dcterms:created xsi:type="dcterms:W3CDTF">2026-03-13T00:34:10Z</dcterms:created>
  <dcterms:modified xsi:type="dcterms:W3CDTF">2026-03-13T00:35:33Z</dcterms:modified>
</cp:coreProperties>
</file>